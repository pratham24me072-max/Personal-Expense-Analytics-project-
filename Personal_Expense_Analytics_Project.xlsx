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ratham katiyar\Desktop\"/>
    </mc:Choice>
  </mc:AlternateContent>
  <xr:revisionPtr revIDLastSave="0" documentId="8_{9E1108CC-261B-44B6-B2B6-06E66D3C232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1" r:id="rId1"/>
    <sheet name="Transactions" sheetId="2" r:id="rId2"/>
    <sheet name="Category Summary" sheetId="3" r:id="rId3"/>
    <sheet name="Monthly Summary" sheetId="4" r:id="rId4"/>
    <sheet name="Read Me" sheetId="5" r:id="rId5"/>
  </sheets>
  <definedNames>
    <definedName name="_xlnm._FilterDatabase" localSheetId="1" hidden="1">Transactions!$A$1:$K$241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4" l="1"/>
  <c r="C13" i="4"/>
  <c r="B21" i="1" s="1"/>
  <c r="D12" i="4"/>
  <c r="C12" i="4"/>
  <c r="B20" i="1" s="1"/>
  <c r="D11" i="4"/>
  <c r="C11" i="4"/>
  <c r="B19" i="1" s="1"/>
  <c r="D10" i="4"/>
  <c r="C10" i="4"/>
  <c r="B18" i="1" s="1"/>
  <c r="D9" i="4"/>
  <c r="C9" i="4"/>
  <c r="B17" i="1" s="1"/>
  <c r="D8" i="4"/>
  <c r="C8" i="4"/>
  <c r="B16" i="1" s="1"/>
  <c r="D7" i="4"/>
  <c r="C7" i="4"/>
  <c r="B15" i="1" s="1"/>
  <c r="D6" i="4"/>
  <c r="C6" i="4"/>
  <c r="B14" i="1" s="1"/>
  <c r="D5" i="4"/>
  <c r="C5" i="4"/>
  <c r="D4" i="4"/>
  <c r="C4" i="4"/>
  <c r="B12" i="1" s="1"/>
  <c r="D3" i="4"/>
  <c r="C3" i="4"/>
  <c r="D2" i="4"/>
  <c r="C2" i="4"/>
  <c r="D9" i="3"/>
  <c r="B9" i="3"/>
  <c r="D8" i="3"/>
  <c r="B8" i="3"/>
  <c r="D7" i="3"/>
  <c r="B7" i="3"/>
  <c r="D6" i="3"/>
  <c r="B6" i="3"/>
  <c r="D5" i="3"/>
  <c r="B5" i="3"/>
  <c r="D4" i="3"/>
  <c r="B4" i="3"/>
  <c r="C4" i="3" s="1"/>
  <c r="D3" i="3"/>
  <c r="B3" i="3"/>
  <c r="D2" i="3"/>
  <c r="B2" i="3"/>
  <c r="C2" i="3" s="1"/>
  <c r="H14" i="1"/>
  <c r="H13" i="1"/>
  <c r="B13" i="1"/>
  <c r="H12" i="1"/>
  <c r="E12" i="1"/>
  <c r="H11" i="1"/>
  <c r="B11" i="1"/>
  <c r="H10" i="1"/>
  <c r="E10" i="1"/>
  <c r="B10" i="1"/>
  <c r="M5" i="1"/>
  <c r="I5" i="1"/>
  <c r="E5" i="1"/>
  <c r="A5" i="1"/>
  <c r="C9" i="3" l="1"/>
  <c r="E17" i="1"/>
  <c r="C8" i="3"/>
  <c r="E16" i="1"/>
  <c r="C7" i="3"/>
  <c r="E15" i="1"/>
  <c r="C6" i="3"/>
  <c r="E14" i="1"/>
  <c r="C5" i="3"/>
  <c r="E13" i="1"/>
  <c r="C3" i="3"/>
  <c r="E11" i="1"/>
</calcChain>
</file>

<file path=xl/sharedStrings.xml><?xml version="1.0" encoding="utf-8"?>
<sst xmlns="http://schemas.openxmlformats.org/spreadsheetml/2006/main" count="2013" uniqueCount="381">
  <si>
    <t>PERSONAL EXPENSE ANALYTICS DASHBOARD</t>
  </si>
  <si>
    <t>TOTAL EXPENSE</t>
  </si>
  <si>
    <t>TRANSACTIONS</t>
  </si>
  <si>
    <t>AVERAGE TRANSACTION</t>
  </si>
  <si>
    <t>TOP CATEGORY</t>
  </si>
  <si>
    <t>Month</t>
  </si>
  <si>
    <t>Expense (₹)</t>
  </si>
  <si>
    <t>Category</t>
  </si>
  <si>
    <t>Payment Method</t>
  </si>
  <si>
    <t>Jan</t>
  </si>
  <si>
    <t>Food &amp; Dining</t>
  </si>
  <si>
    <t>UPI</t>
  </si>
  <si>
    <t>Feb</t>
  </si>
  <si>
    <t>Transport</t>
  </si>
  <si>
    <t>Debit Card</t>
  </si>
  <si>
    <t>Mar</t>
  </si>
  <si>
    <t>Housing</t>
  </si>
  <si>
    <t>Credit Card</t>
  </si>
  <si>
    <t>Apr</t>
  </si>
  <si>
    <t>Shopping</t>
  </si>
  <si>
    <t>Cash</t>
  </si>
  <si>
    <t>May</t>
  </si>
  <si>
    <t>Health</t>
  </si>
  <si>
    <t>Net Banking</t>
  </si>
  <si>
    <t>Jun</t>
  </si>
  <si>
    <t>Entertainment</t>
  </si>
  <si>
    <t>Jul</t>
  </si>
  <si>
    <t>Education</t>
  </si>
  <si>
    <t>Aug</t>
  </si>
  <si>
    <t>Utilities</t>
  </si>
  <si>
    <t>Sep</t>
  </si>
  <si>
    <t>Oct</t>
  </si>
  <si>
    <t>Nov</t>
  </si>
  <si>
    <t>Dec</t>
  </si>
  <si>
    <t>How to use: replace sample rows on Transactions; summary formulas and charts update in Excel.</t>
  </si>
  <si>
    <t>Transaction ID</t>
  </si>
  <si>
    <t>Date</t>
  </si>
  <si>
    <t>Month Number</t>
  </si>
  <si>
    <t>Subcategory</t>
  </si>
  <si>
    <t>Description</t>
  </si>
  <si>
    <t>Amount (₹)</t>
  </si>
  <si>
    <t>Type</t>
  </si>
  <si>
    <t>Month-Year</t>
  </si>
  <si>
    <t>TXN0005</t>
  </si>
  <si>
    <t>Internet</t>
  </si>
  <si>
    <t>Water Department</t>
  </si>
  <si>
    <t>Expense</t>
  </si>
  <si>
    <t>Jan-2025</t>
  </si>
  <si>
    <t>TXN0159</t>
  </si>
  <si>
    <t>Books</t>
  </si>
  <si>
    <t>Book Shop</t>
  </si>
  <si>
    <t>TXN0194</t>
  </si>
  <si>
    <t>Fitness</t>
  </si>
  <si>
    <t>Clinic</t>
  </si>
  <si>
    <t>TXN0123</t>
  </si>
  <si>
    <t>Taxi</t>
  </si>
  <si>
    <t>Parking Lot</t>
  </si>
  <si>
    <t>TXN0110</t>
  </si>
  <si>
    <t>TXN0158</t>
  </si>
  <si>
    <t>Household items</t>
  </si>
  <si>
    <t>Online Marketplace</t>
  </si>
  <si>
    <t>TXN0003</t>
  </si>
  <si>
    <t>Public transport</t>
  </si>
  <si>
    <t>Fuel Station</t>
  </si>
  <si>
    <t>TXN0015</t>
  </si>
  <si>
    <t>Subscriptions</t>
  </si>
  <si>
    <t>Cinema</t>
  </si>
  <si>
    <t>TXN0189</t>
  </si>
  <si>
    <t>Games</t>
  </si>
  <si>
    <t>TXN0174</t>
  </si>
  <si>
    <t>Cab Service</t>
  </si>
  <si>
    <t>TXN0062</t>
  </si>
  <si>
    <t>TXN0153</t>
  </si>
  <si>
    <t>Mobile recharge</t>
  </si>
  <si>
    <t>Gas Agency</t>
  </si>
  <si>
    <t>TXN0215</t>
  </si>
  <si>
    <t>Doctor</t>
  </si>
  <si>
    <t>Medical Store</t>
  </si>
  <si>
    <t>TXN0075</t>
  </si>
  <si>
    <t>Stationery Shop</t>
  </si>
  <si>
    <t>TXN0085</t>
  </si>
  <si>
    <t>Electronics</t>
  </si>
  <si>
    <t>Clothing Store</t>
  </si>
  <si>
    <t>TXN0130</t>
  </si>
  <si>
    <t>Coffee</t>
  </si>
  <si>
    <t>Cafe Corner</t>
  </si>
  <si>
    <t>TXN0199</t>
  </si>
  <si>
    <t>Local Grocery</t>
  </si>
  <si>
    <t>TXN0020</t>
  </si>
  <si>
    <t>Metro</t>
  </si>
  <si>
    <t>TXN0236</t>
  </si>
  <si>
    <t>TXN0240</t>
  </si>
  <si>
    <t>Restaurant</t>
  </si>
  <si>
    <t>TXN0046</t>
  </si>
  <si>
    <t>TXN0144</t>
  </si>
  <si>
    <t>Water</t>
  </si>
  <si>
    <t>TXN0038</t>
  </si>
  <si>
    <t>Stationery</t>
  </si>
  <si>
    <t>Feb-2025</t>
  </si>
  <si>
    <t>TXN0095</t>
  </si>
  <si>
    <t>Online course</t>
  </si>
  <si>
    <t>TXN0133</t>
  </si>
  <si>
    <t>TXN0113</t>
  </si>
  <si>
    <t>Movies</t>
  </si>
  <si>
    <t>Streaming Service</t>
  </si>
  <si>
    <t>TXN0033</t>
  </si>
  <si>
    <t>TXN0034</t>
  </si>
  <si>
    <t>TXN0217</t>
  </si>
  <si>
    <t>TXN0111</t>
  </si>
  <si>
    <t>Clothing</t>
  </si>
  <si>
    <t>Home Store</t>
  </si>
  <si>
    <t>TXN0121</t>
  </si>
  <si>
    <t>TXN0175</t>
  </si>
  <si>
    <t>TXN0233</t>
  </si>
  <si>
    <t>TXN0220</t>
  </si>
  <si>
    <t>TXN0204</t>
  </si>
  <si>
    <t>TXN0131</t>
  </si>
  <si>
    <t>Supermarket</t>
  </si>
  <si>
    <t>TXN0196</t>
  </si>
  <si>
    <t>TXN0023</t>
  </si>
  <si>
    <t>TXN0026</t>
  </si>
  <si>
    <t>TXN0238</t>
  </si>
  <si>
    <t>TXN0213</t>
  </si>
  <si>
    <t>Parking</t>
  </si>
  <si>
    <t>TXN0154</t>
  </si>
  <si>
    <t>Mar-2025</t>
  </si>
  <si>
    <t>TXN0072</t>
  </si>
  <si>
    <t>Medicine</t>
  </si>
  <si>
    <t>TXN0160</t>
  </si>
  <si>
    <t>TXN0112</t>
  </si>
  <si>
    <t>TXN0145</t>
  </si>
  <si>
    <t>Internet bill</t>
  </si>
  <si>
    <t>Internet Provider</t>
  </si>
  <si>
    <t>TXN0218</t>
  </si>
  <si>
    <t>Gym</t>
  </si>
  <si>
    <t>TXN0063</t>
  </si>
  <si>
    <t>TXN0060</t>
  </si>
  <si>
    <t>TXN0035</t>
  </si>
  <si>
    <t>TXN0094</t>
  </si>
  <si>
    <t>Electricity</t>
  </si>
  <si>
    <t>Electricity Board</t>
  </si>
  <si>
    <t>TXN0232</t>
  </si>
  <si>
    <t>TXN0178</t>
  </si>
  <si>
    <t>TXN0209</t>
  </si>
  <si>
    <t>TXN0134</t>
  </si>
  <si>
    <t>TXN0223</t>
  </si>
  <si>
    <t>Mobile Operator</t>
  </si>
  <si>
    <t>TXN0228</t>
  </si>
  <si>
    <t>TXN0234</t>
  </si>
  <si>
    <t>TXN0029</t>
  </si>
  <si>
    <t>TXN0179</t>
  </si>
  <si>
    <t>Rent</t>
  </si>
  <si>
    <t>TXN0139</t>
  </si>
  <si>
    <t>TXN0088</t>
  </si>
  <si>
    <t>Apr-2025</t>
  </si>
  <si>
    <t>TXN0040</t>
  </si>
  <si>
    <t>TXN0036</t>
  </si>
  <si>
    <t>Fuel</t>
  </si>
  <si>
    <t>TXN0039</t>
  </si>
  <si>
    <t>TXN0079</t>
  </si>
  <si>
    <t>TXN0004</t>
  </si>
  <si>
    <t>TXN0050</t>
  </si>
  <si>
    <t>TXN0138</t>
  </si>
  <si>
    <t>TXN0064</t>
  </si>
  <si>
    <t>TXN0119</t>
  </si>
  <si>
    <t>TXN0006</t>
  </si>
  <si>
    <t>TXN0203</t>
  </si>
  <si>
    <t>Gas</t>
  </si>
  <si>
    <t>TXN0002</t>
  </si>
  <si>
    <t>ISP</t>
  </si>
  <si>
    <t>TXN0148</t>
  </si>
  <si>
    <t>TXN0084</t>
  </si>
  <si>
    <t>May-2025</t>
  </si>
  <si>
    <t>TXN0200</t>
  </si>
  <si>
    <t>TXN0093</t>
  </si>
  <si>
    <t>TXN0042</t>
  </si>
  <si>
    <t>TXN0122</t>
  </si>
  <si>
    <t>TXN0087</t>
  </si>
  <si>
    <t>TXN0049</t>
  </si>
  <si>
    <t>Groceries</t>
  </si>
  <si>
    <t>Food App</t>
  </si>
  <si>
    <t>TXN0022</t>
  </si>
  <si>
    <t>TXN0188</t>
  </si>
  <si>
    <t>TXN0210</t>
  </si>
  <si>
    <t>TXN0181</t>
  </si>
  <si>
    <t>Food delivery</t>
  </si>
  <si>
    <t>TXN0103</t>
  </si>
  <si>
    <t>Learning Platform</t>
  </si>
  <si>
    <t>TXN0024</t>
  </si>
  <si>
    <t>TXN0053</t>
  </si>
  <si>
    <t>Landlord</t>
  </si>
  <si>
    <t>TXN0142</t>
  </si>
  <si>
    <t>TXN0212</t>
  </si>
  <si>
    <t>TXN0044</t>
  </si>
  <si>
    <t>TXN0056</t>
  </si>
  <si>
    <t>TXN0157</t>
  </si>
  <si>
    <t>TXN0146</t>
  </si>
  <si>
    <t>TXN0128</t>
  </si>
  <si>
    <t>TXN0163</t>
  </si>
  <si>
    <t>TXN0164</t>
  </si>
  <si>
    <t>TXN0057</t>
  </si>
  <si>
    <t>TXN0081</t>
  </si>
  <si>
    <t>TXN0010</t>
  </si>
  <si>
    <t>TXN0185</t>
  </si>
  <si>
    <t>Jun-2025</t>
  </si>
  <si>
    <t>TXN0098</t>
  </si>
  <si>
    <t>TXN0124</t>
  </si>
  <si>
    <t>Game Store</t>
  </si>
  <si>
    <t>TXN0126</t>
  </si>
  <si>
    <t>TXN0227</t>
  </si>
  <si>
    <t>TXN0077</t>
  </si>
  <si>
    <t>TXN0222</t>
  </si>
  <si>
    <t>TXN0127</t>
  </si>
  <si>
    <t>TXN0177</t>
  </si>
  <si>
    <t>TXN0190</t>
  </si>
  <si>
    <t>TXN0078</t>
  </si>
  <si>
    <t>TXN0197</t>
  </si>
  <si>
    <t>TXN0207</t>
  </si>
  <si>
    <t>TXN0151</t>
  </si>
  <si>
    <t>TXN0104</t>
  </si>
  <si>
    <t>TXN0118</t>
  </si>
  <si>
    <t>TXN0032</t>
  </si>
  <si>
    <t>TXN0192</t>
  </si>
  <si>
    <t>TXN0132</t>
  </si>
  <si>
    <t>TXN0069</t>
  </si>
  <si>
    <t>TXN0007</t>
  </si>
  <si>
    <t>Jul-2025</t>
  </si>
  <si>
    <t>TXN0211</t>
  </si>
  <si>
    <t>TXN0129</t>
  </si>
  <si>
    <t>TXN0019</t>
  </si>
  <si>
    <t>TXN0009</t>
  </si>
  <si>
    <t>TXN0076</t>
  </si>
  <si>
    <t>TXN0191</t>
  </si>
  <si>
    <t>TXN0054</t>
  </si>
  <si>
    <t>TXN0025</t>
  </si>
  <si>
    <t>TXN0166</t>
  </si>
  <si>
    <t>TXN0173</t>
  </si>
  <si>
    <t>TXN0068</t>
  </si>
  <si>
    <t>TXN0219</t>
  </si>
  <si>
    <t>TXN0205</t>
  </si>
  <si>
    <t>TXN0070</t>
  </si>
  <si>
    <t>TXN0216</t>
  </si>
  <si>
    <t>TXN0043</t>
  </si>
  <si>
    <t>TXN0065</t>
  </si>
  <si>
    <t>TXN0152</t>
  </si>
  <si>
    <t>TXN0066</t>
  </si>
  <si>
    <t>TXN0221</t>
  </si>
  <si>
    <t>TXN0096</t>
  </si>
  <si>
    <t>Aug-2025</t>
  </si>
  <si>
    <t>TXN0086</t>
  </si>
  <si>
    <t>TXN0201</t>
  </si>
  <si>
    <t>TXN0037</t>
  </si>
  <si>
    <t>TXN0125</t>
  </si>
  <si>
    <t>TXN0230</t>
  </si>
  <si>
    <t>TXN0137</t>
  </si>
  <si>
    <t>TXN0224</t>
  </si>
  <si>
    <t>TXN0147</t>
  </si>
  <si>
    <t>TXN0114</t>
  </si>
  <si>
    <t>TXN0115</t>
  </si>
  <si>
    <t>TXN0116</t>
  </si>
  <si>
    <t>TXN0031</t>
  </si>
  <si>
    <t>TXN0170</t>
  </si>
  <si>
    <t>TXN0182</t>
  </si>
  <si>
    <t>TXN0176</t>
  </si>
  <si>
    <t>TXN0091</t>
  </si>
  <si>
    <t>TXN0117</t>
  </si>
  <si>
    <t>TXN0011</t>
  </si>
  <si>
    <t>TXN0089</t>
  </si>
  <si>
    <t>TXN0162</t>
  </si>
  <si>
    <t>TXN0052</t>
  </si>
  <si>
    <t>TXN0155</t>
  </si>
  <si>
    <t>TXN0082</t>
  </si>
  <si>
    <t>TXN0101</t>
  </si>
  <si>
    <t>TXN0105</t>
  </si>
  <si>
    <t>TXN0149</t>
  </si>
  <si>
    <t>TXN0168</t>
  </si>
  <si>
    <t>TXN0083</t>
  </si>
  <si>
    <t>TXN0047</t>
  </si>
  <si>
    <t>Sep-2025</t>
  </si>
  <si>
    <t>TXN0184</t>
  </si>
  <si>
    <t>TXN0100</t>
  </si>
  <si>
    <t>TXN0239</t>
  </si>
  <si>
    <t>TXN0169</t>
  </si>
  <si>
    <t>TXN0058</t>
  </si>
  <si>
    <t>TXN0074</t>
  </si>
  <si>
    <t>TXN0136</t>
  </si>
  <si>
    <t>TXN0028</t>
  </si>
  <si>
    <t>TXN0013</t>
  </si>
  <si>
    <t>Oct-2025</t>
  </si>
  <si>
    <t>TXN0008</t>
  </si>
  <si>
    <t>TXN0165</t>
  </si>
  <si>
    <t>TXN0041</t>
  </si>
  <si>
    <t>TXN0208</t>
  </si>
  <si>
    <t>TXN0229</t>
  </si>
  <si>
    <t>TXN0135</t>
  </si>
  <si>
    <t>TXN0018</t>
  </si>
  <si>
    <t>TXN0225</t>
  </si>
  <si>
    <t>TXN0061</t>
  </si>
  <si>
    <t>TXN0108</t>
  </si>
  <si>
    <t>TXN0186</t>
  </si>
  <si>
    <t>TXN0016</t>
  </si>
  <si>
    <t>TXN0027</t>
  </si>
  <si>
    <t>TXN0167</t>
  </si>
  <si>
    <t>TXN0180</t>
  </si>
  <si>
    <t>TXN0097</t>
  </si>
  <si>
    <t>TXN0214</t>
  </si>
  <si>
    <t>TXN0048</t>
  </si>
  <si>
    <t>Nov-2025</t>
  </si>
  <si>
    <t>TXN0073</t>
  </si>
  <si>
    <t>TXN0021</t>
  </si>
  <si>
    <t>TXN0235</t>
  </si>
  <si>
    <t>TXN0099</t>
  </si>
  <si>
    <t>TXN0109</t>
  </si>
  <si>
    <t>TXN0237</t>
  </si>
  <si>
    <t>TXN0187</t>
  </si>
  <si>
    <t>TXN0090</t>
  </si>
  <si>
    <t>TXN0055</t>
  </si>
  <si>
    <t>TXN0080</t>
  </si>
  <si>
    <t>TXN0202</t>
  </si>
  <si>
    <t>TXN0107</t>
  </si>
  <si>
    <t>TXN0156</t>
  </si>
  <si>
    <t>TXN0172</t>
  </si>
  <si>
    <t>TXN0092</t>
  </si>
  <si>
    <t>TXN0059</t>
  </si>
  <si>
    <t>TXN0150</t>
  </si>
  <si>
    <t>TXN0001</t>
  </si>
  <si>
    <t>TXN0014</t>
  </si>
  <si>
    <t>TXN0071</t>
  </si>
  <si>
    <t>TXN0102</t>
  </si>
  <si>
    <t>TXN0017</t>
  </si>
  <si>
    <t>TXN0143</t>
  </si>
  <si>
    <t>TXN0106</t>
  </si>
  <si>
    <t>TXN0171</t>
  </si>
  <si>
    <t>Dec-2025</t>
  </si>
  <si>
    <t>TXN0045</t>
  </si>
  <si>
    <t>TXN0206</t>
  </si>
  <si>
    <t>TXN0226</t>
  </si>
  <si>
    <t>TXN0067</t>
  </si>
  <si>
    <t>TXN0012</t>
  </si>
  <si>
    <t>TXN0051</t>
  </si>
  <si>
    <t>TXN0195</t>
  </si>
  <si>
    <t>TXN0193</t>
  </si>
  <si>
    <t>TXN0140</t>
  </si>
  <si>
    <t>TXN0183</t>
  </si>
  <si>
    <t>TXN0030</t>
  </si>
  <si>
    <t>TXN0198</t>
  </si>
  <si>
    <t>TXN0231</t>
  </si>
  <si>
    <t>TXN0120</t>
  </si>
  <si>
    <t>TXN0141</t>
  </si>
  <si>
    <t>TXN0161</t>
  </si>
  <si>
    <t>Total Expense (₹)</t>
  </si>
  <si>
    <t>Share of Total</t>
  </si>
  <si>
    <t>Transaction Count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</si>
  <si>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</si>
  <si>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</si>
  <si>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</si>
  <si>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</si>
  <si>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</si>
  <si>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</si>
  <si>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</si>
  <si>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</si>
  <si>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</si>
  <si>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</si>
  <si>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</si>
  <si>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PERSONAL EXPENSE ANALYTICS — PROJECT NOTES</t>
  </si>
  <si>
    <t>Goal</t>
  </si>
  <si>
    <t>Track expenses, identify top spending categories, and compare monthly spending.</t>
  </si>
  <si>
    <t>Workbook sheets</t>
  </si>
  <si>
    <t>Dashboard, Transactions, Category Summary, Monthly Summary, Read Me.</t>
  </si>
  <si>
    <t>Data</t>
  </si>
  <si>
    <t>240 synthetic sample transactions for Jan–Dec 2025. Replace with your own data before using for real decisions.</t>
  </si>
  <si>
    <t>Excel use</t>
  </si>
  <si>
    <t>Add new transactions to the Transactions table. Summary formulas reference the transaction columns.</t>
  </si>
  <si>
    <t>Power BI use</t>
  </si>
  <si>
    <t>Import the Transactions sheet/table. Set Date to Date, Amount (₹) to Whole Number or Fixed Decimal.</t>
  </si>
  <si>
    <t>Suggested visuals</t>
  </si>
  <si>
    <t>Cards: Total Expense, Transaction Count, Average Transaction. Line chart: Month-Year vs Amount. Donut: Category vs Amount. Bar: Payment Method vs Amount.</t>
  </si>
  <si>
    <t>Suggested slicers</t>
  </si>
  <si>
    <t>Date, Category, Payment Method, Month-Year.</t>
  </si>
  <si>
    <t>Important</t>
  </si>
  <si>
    <t>Sample data is fictional and intended for learning. The Excel charts may need recalculation when first opened in a compatible spreadsheet app.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</si>
</sst>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dd\-mmm\-yyyy"/>
    <numFmt numFmtId="166" formatCode="\₹#,##0"/>
    <numFmt numFmtId="167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20"/>
      <color rgb="FFFFFFFF"/>
      <name val="Calibri"/>
    </font>
    <font>
      <b/>
      <sz val="10"/>
      <color rgb="FFFFFFFF"/>
      <name val="Calibri"/>
    </font>
    <font>
      <b/>
      <sz val="17"/>
      <color rgb="FF17365D"/>
      <name val="Calibri"/>
    </font>
    <font>
      <i/>
      <sz val="11"/>
      <color rgb="FF666666"/>
      <name val="Calibri"/>
    </font>
    <font>
      <b/>
      <sz val="16"/>
      <color rgb="FFFFFFFF"/>
      <name val="Calibri"/>
    </font>
    <font>
      <b/>
      <sz val="11"/>
      <color rgb="FF17365D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F6B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7" fillId="4" borderId="0" xfId="0" applyFont="1" applyFill="1"/>
    <xf numFmtId="0" fontId="0" fillId="0" borderId="0" xfId="0" applyAlignment="1">
      <alignment vertical="top" wrapText="1"/>
    </xf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 applyAlignment="1">
      <alignment vertical="center" wrapText="1"/>
    </xf>
    <xf numFmtId="0" fontId="0" fillId="0" borderId="0" xfId="0"/>
    <xf numFmtId="166" fontId="4" fillId="4" borderId="0" xfId="0" applyNumberFormat="1" applyFont="1" applyFill="1" applyAlignment="1">
      <alignment horizontal="center" vertical="center"/>
    </xf>
    <xf numFmtId="0" fontId="0" fillId="4" borderId="0" xfId="0" applyFill="1"/>
    <xf numFmtId="3" fontId="4" fillId="4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3" borderId="0" xfId="0" applyFill="1"/>
    <xf numFmtId="0" fontId="4" fillId="4" borderId="0" xfId="0" applyFont="1" applyFill="1" applyAlignment="1">
      <alignment horizontal="center" vertical="center"/>
    </xf>
    <xf numFmtId="0" fontId="6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Monthly Expense Trend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Dashboard!$B$9</c:f>
              <c:strCache>
                <c:ptCount val="1"/>
                <c:pt idx="0">
                  <c:v>Expense (₹)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26432</c:v>
                </c:pt>
                <c:pt idx="1">
                  <c:v>29477</c:v>
                </c:pt>
                <c:pt idx="2">
                  <c:v>35697</c:v>
                </c:pt>
                <c:pt idx="3">
                  <c:v>26811</c:v>
                </c:pt>
                <c:pt idx="4">
                  <c:v>67417</c:v>
                </c:pt>
                <c:pt idx="5">
                  <c:v>35785</c:v>
                </c:pt>
                <c:pt idx="6">
                  <c:v>39956</c:v>
                </c:pt>
                <c:pt idx="7">
                  <c:v>55726</c:v>
                </c:pt>
                <c:pt idx="8">
                  <c:v>18588</c:v>
                </c:pt>
                <c:pt idx="9">
                  <c:v>26627</c:v>
                </c:pt>
                <c:pt idx="10">
                  <c:v>34014</c:v>
                </c:pt>
                <c:pt idx="11">
                  <c:v>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DC-47BB-9C51-9B2C99626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Expense (₹)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Expense by Category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Dashboard!$E$9</c:f>
              <c:strCache>
                <c:ptCount val="1"/>
                <c:pt idx="0">
                  <c:v>Expense (₹)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Dashboard!$D$10:$D$17</c:f>
              <c:strCache>
                <c:ptCount val="8"/>
                <c:pt idx="0">
                  <c:v>Food &amp; Dining</c:v>
                </c:pt>
                <c:pt idx="1">
                  <c:v>Transport</c:v>
                </c:pt>
                <c:pt idx="2">
                  <c:v>Housing</c:v>
                </c:pt>
                <c:pt idx="3">
                  <c:v>Shopping</c:v>
                </c:pt>
                <c:pt idx="4">
                  <c:v>Health</c:v>
                </c:pt>
                <c:pt idx="5">
                  <c:v>Entertainment</c:v>
                </c:pt>
                <c:pt idx="6">
                  <c:v>Education</c:v>
                </c:pt>
                <c:pt idx="7">
                  <c:v>Utilities</c:v>
                </c:pt>
              </c:strCache>
            </c:strRef>
          </c:cat>
          <c:val>
            <c:numRef>
              <c:f>Dashboard!$E$10:$E$17</c:f>
              <c:numCache>
                <c:formatCode>General</c:formatCode>
                <c:ptCount val="8"/>
                <c:pt idx="0">
                  <c:v>28582</c:v>
                </c:pt>
                <c:pt idx="1">
                  <c:v>24744</c:v>
                </c:pt>
                <c:pt idx="2">
                  <c:v>139658</c:v>
                </c:pt>
                <c:pt idx="3">
                  <c:v>90587</c:v>
                </c:pt>
                <c:pt idx="4">
                  <c:v>47989</c:v>
                </c:pt>
                <c:pt idx="5">
                  <c:v>23678</c:v>
                </c:pt>
                <c:pt idx="6">
                  <c:v>50051</c:v>
                </c:pt>
                <c:pt idx="7">
                  <c:v>27470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9F-419B-86E8-2E7ECBC82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1"/>
  <c:chart>
    <c:title>
      <c:tx>
        <c:rich>
          <a:bodyPr/>
          <a:lstStyle/>
          <a:p>
            <a:pPr>
              <a:defRPr/>
            </a:pPr>
            <a:r>
              <a:rPr lang="en-IN"/>
              <a:t>Expense by Payment Method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Dashboard!$H$9</c:f>
              <c:strCache>
                <c:ptCount val="1"/>
                <c:pt idx="0">
                  <c:v>Expense (₹)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Dashboard!$G$10:$G$14</c:f>
              <c:strCache>
                <c:ptCount val="5"/>
                <c:pt idx="0">
                  <c:v>UPI</c:v>
                </c:pt>
                <c:pt idx="1">
                  <c:v>Debit Card</c:v>
                </c:pt>
                <c:pt idx="2">
                  <c:v>Credit Card</c:v>
                </c:pt>
                <c:pt idx="3">
                  <c:v>Cash</c:v>
                </c:pt>
                <c:pt idx="4">
                  <c:v>Net Banking</c:v>
                </c:pt>
              </c:strCache>
            </c:strRef>
          </c:cat>
          <c:val>
            <c:numRef>
              <c:f>Dashboard!$H$10:$H$14</c:f>
              <c:numCache>
                <c:formatCode>General</c:formatCode>
                <c:ptCount val="5"/>
                <c:pt idx="0">
                  <c:v>128096</c:v>
                </c:pt>
                <c:pt idx="1">
                  <c:v>85703</c:v>
                </c:pt>
                <c:pt idx="2">
                  <c:v>76114</c:v>
                </c:pt>
                <c:pt idx="3">
                  <c:v>88955</c:v>
                </c:pt>
                <c:pt idx="4">
                  <c:v>53891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F-419E-BFAC-D2D92698E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Expense (₹)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504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22</xdr:row>
      <xdr:rowOff>0</xdr:rowOff>
    </xdr:from>
    <xdr:ext cx="396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7</xdr:col>
      <xdr:colOff>0</xdr:colOff>
      <xdr:row>38</xdr:row>
      <xdr:rowOff>0</xdr:rowOff>
    </xdr:from>
    <xdr:ext cx="396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0"/>
  <sheetViews>
    <sheetView showGridLines="0" tabSelected="1" workbookViewId="0">
      <pane ySplit="3" topLeftCell="A4" activePane="bottomLeft" state="frozen"/>
      <selection pane="bottomLeft"/>
    </sheetView>
  </sheetViews>
  <sheetFormatPr defaultRowHeight="14.4" x14ac:dyDescent="0.3"/>
  <cols>
    <col min="1" max="1" width="18" customWidth="1"/>
    <col min="2" max="3" width="14" customWidth="1"/>
    <col min="4" max="4" width="22" customWidth="1"/>
    <col min="5" max="6" width="14" customWidth="1"/>
    <col min="7" max="7" width="20" customWidth="1"/>
    <col min="8" max="14" width="14" customWidth="1"/>
  </cols>
  <sheetData>
    <row r="1" spans="1:14" x14ac:dyDescent="0.3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spans="1:14" x14ac:dyDescent="0.3">
      <c r="A4" s="15" t="s">
        <v>1</v>
      </c>
      <c r="B4" s="16"/>
      <c r="C4" s="16"/>
      <c r="E4" s="15" t="s">
        <v>2</v>
      </c>
      <c r="F4" s="16"/>
      <c r="G4" s="16"/>
      <c r="I4" s="15" t="s">
        <v>3</v>
      </c>
      <c r="J4" s="16"/>
      <c r="K4" s="16"/>
      <c r="M4" s="15" t="s">
        <v>4</v>
      </c>
      <c r="N4" s="16"/>
    </row>
    <row r="5" spans="1:14" x14ac:dyDescent="0.3">
      <c r="A5" s="12">
        <f>SUM(Transactions!I:I)</f>
        <v>432759</v>
      </c>
      <c r="B5" s="13"/>
      <c r="C5" s="13"/>
      <c r="E5" s="14">
        <f>COUNTA(Transactions!A:A)-1</f>
        <v>240</v>
      </c>
      <c r="F5" s="13"/>
      <c r="G5" s="13"/>
      <c r="I5" s="12">
        <f>AVERAGE(Transactions!I:I)</f>
        <v>1803.1624999999999</v>
      </c>
      <c r="J5" s="13"/>
      <c r="K5" s="13"/>
      <c r="M5" s="17" t="str">
        <f>"Housing"</f>
        <v>Housing</v>
      </c>
      <c r="N5" s="13"/>
    </row>
    <row r="6" spans="1:14" x14ac:dyDescent="0.3">
      <c r="A6" s="13"/>
      <c r="B6" s="13"/>
      <c r="C6" s="13"/>
      <c r="E6" s="13"/>
      <c r="F6" s="13"/>
      <c r="G6" s="13"/>
      <c r="I6" s="13"/>
      <c r="J6" s="13"/>
      <c r="K6" s="13"/>
      <c r="M6" s="13"/>
      <c r="N6" s="13"/>
    </row>
    <row r="9" spans="1:14" x14ac:dyDescent="0.3">
      <c r="A9" s="1" t="s">
        <v>5</v>
      </c>
      <c r="B9" s="1" t="s">
        <v>6</v>
      </c>
      <c r="D9" s="1" t="s">
        <v>7</v>
      </c>
      <c r="E9" s="1" t="s">
        <v>6</v>
      </c>
      <c r="G9" s="1" t="s">
        <v>8</v>
      </c>
      <c r="H9" s="1" t="s">
        <v>6</v>
      </c>
    </row>
    <row r="10" spans="1:14" x14ac:dyDescent="0.3">
      <c r="A10" t="s">
        <v>9</v>
      </c>
      <c r="B10">
        <f>'Monthly Summary'!C2</f>
        <v>26432</v>
      </c>
      <c r="D10" t="s">
        <v>10</v>
      </c>
      <c r="E10">
        <f>'Category Summary'!B2</f>
        <v>28582</v>
      </c>
      <c r="G10" t="s">
        <v>11</v>
      </c>
      <c r="H10">
        <f>SUMIF(Transactions!$H:$H,G10,Transactions!$I:$I)</f>
        <v>128096</v>
      </c>
    </row>
    <row r="11" spans="1:14" x14ac:dyDescent="0.3">
      <c r="A11" t="s">
        <v>12</v>
      </c>
      <c r="B11">
        <f>'Monthly Summary'!C3</f>
        <v>29477</v>
      </c>
      <c r="D11" t="s">
        <v>13</v>
      </c>
      <c r="E11">
        <f>'Category Summary'!B3</f>
        <v>24744</v>
      </c>
      <c r="G11" t="s">
        <v>14</v>
      </c>
      <c r="H11">
        <f>SUMIF(Transactions!$H:$H,G11,Transactions!$I:$I)</f>
        <v>85703</v>
      </c>
    </row>
    <row r="12" spans="1:14" x14ac:dyDescent="0.3">
      <c r="A12" t="s">
        <v>15</v>
      </c>
      <c r="B12">
        <f>'Monthly Summary'!C4</f>
        <v>35697</v>
      </c>
      <c r="D12" t="s">
        <v>16</v>
      </c>
      <c r="E12">
        <f>'Category Summary'!B4</f>
        <v>139658</v>
      </c>
      <c r="G12" t="s">
        <v>17</v>
      </c>
      <c r="H12">
        <f>SUMIF(Transactions!$H:$H,G12,Transactions!$I:$I)</f>
        <v>76114</v>
      </c>
    </row>
    <row r="13" spans="1:14" x14ac:dyDescent="0.3">
      <c r="A13" t="s">
        <v>18</v>
      </c>
      <c r="B13">
        <f>'Monthly Summary'!C5</f>
        <v>26811</v>
      </c>
      <c r="D13" t="s">
        <v>19</v>
      </c>
      <c r="E13">
        <f>'Category Summary'!B5</f>
        <v>90587</v>
      </c>
      <c r="G13" t="s">
        <v>20</v>
      </c>
      <c r="H13">
        <f>SUMIF(Transactions!$H:$H,G13,Transactions!$I:$I)</f>
        <v>88955</v>
      </c>
    </row>
    <row r="14" spans="1:14" x14ac:dyDescent="0.3">
      <c r="A14" t="s">
        <v>21</v>
      </c>
      <c r="B14">
        <f>'Monthly Summary'!C6</f>
        <v>67417</v>
      </c>
      <c r="D14" t="s">
        <v>22</v>
      </c>
      <c r="E14">
        <f>'Category Summary'!B6</f>
        <v>47989</v>
      </c>
      <c r="G14" t="s">
        <v>23</v>
      </c>
      <c r="H14">
        <f>SUMIF(Transactions!$H:$H,G14,Transactions!$I:$I)</f>
        <v>53891</v>
      </c>
    </row>
    <row r="15" spans="1:14" x14ac:dyDescent="0.3">
      <c r="A15" t="s">
        <v>24</v>
      </c>
      <c r="B15">
        <f>'Monthly Summary'!C7</f>
        <v>35785</v>
      </c>
      <c r="D15" t="s">
        <v>25</v>
      </c>
      <c r="E15">
        <f>'Category Summary'!B7</f>
        <v>23678</v>
      </c>
    </row>
    <row r="16" spans="1:14" x14ac:dyDescent="0.3">
      <c r="A16" t="s">
        <v>26</v>
      </c>
      <c r="B16">
        <f>'Monthly Summary'!C8</f>
        <v>39956</v>
      </c>
      <c r="D16" t="s">
        <v>27</v>
      </c>
      <c r="E16">
        <f>'Category Summary'!B8</f>
        <v>50051</v>
      </c>
    </row>
    <row r="17" spans="1:5" x14ac:dyDescent="0.3">
      <c r="A17" t="s">
        <v>28</v>
      </c>
      <c r="B17">
        <f>'Monthly Summary'!C9</f>
        <v>55726</v>
      </c>
      <c r="D17" t="s">
        <v>29</v>
      </c>
      <c r="E17">
        <f>'Category Summary'!B9</f>
        <v>27470</v>
      </c>
    </row>
    <row r="18" spans="1:5" x14ac:dyDescent="0.3">
      <c r="A18" t="s">
        <v>30</v>
      </c>
      <c r="B18">
        <f>'Monthly Summary'!C10</f>
        <v>18588</v>
      </c>
    </row>
    <row r="19" spans="1:5" x14ac:dyDescent="0.3">
      <c r="A19" t="s">
        <v>31</v>
      </c>
      <c r="B19">
        <f>'Monthly Summary'!C11</f>
        <v>26627</v>
      </c>
    </row>
    <row r="20" spans="1:5" x14ac:dyDescent="0.3">
      <c r="A20" t="s">
        <v>32</v>
      </c>
      <c r="B20">
        <f>'Monthly Summary'!C12</f>
        <v>34014</v>
      </c>
    </row>
    <row r="21" spans="1:5" x14ac:dyDescent="0.3">
      <c r="A21" t="s">
        <v>33</v>
      </c>
      <c r="B21">
        <f>'Monthly Summary'!C13</f>
        <v>36229</v>
      </c>
    </row>
    <row r="38" spans="1:6" x14ac:dyDescent="0.3">
      <c r="A38" s="10" t="s">
        <v>34</v>
      </c>
      <c r="B38" s="11"/>
      <c r="C38" s="11"/>
      <c r="D38" s="11"/>
      <c r="E38" s="11"/>
      <c r="F38" s="11"/>
    </row>
    <row r="39" spans="1:6" x14ac:dyDescent="0.3">
      <c r="A39" s="11"/>
      <c r="B39" s="11"/>
      <c r="C39" s="11"/>
      <c r="D39" s="11"/>
      <c r="E39" s="11"/>
      <c r="F39" s="11"/>
    </row>
    <row r="40" spans="1:6" x14ac:dyDescent="0.3">
      <c r="A40" s="11"/>
      <c r="B40" s="11"/>
      <c r="C40" s="11"/>
      <c r="D40" s="11"/>
      <c r="E40" s="11"/>
      <c r="F40" s="11"/>
    </row>
  </sheetData>
  <mergeCells count="10">
    <mergeCell ref="A1:N2"/>
    <mergeCell ref="A38:F40"/>
    <mergeCell ref="A5:C6"/>
    <mergeCell ref="E5:G6"/>
    <mergeCell ref="I5:K6"/>
    <mergeCell ref="E4:G4"/>
    <mergeCell ref="I4:K4"/>
    <mergeCell ref="M5:N6"/>
    <mergeCell ref="A4:C4"/>
    <mergeCell ref="M4:N4"/>
  </mergeCells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4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5" customWidth="1"/>
    <col min="2" max="2" width="14" customWidth="1"/>
    <col min="3" max="3" width="10" customWidth="1"/>
    <col min="4" max="4" width="13" customWidth="1"/>
    <col min="5" max="6" width="20" customWidth="1"/>
    <col min="7" max="7" width="24" customWidth="1"/>
    <col min="8" max="8" width="18" customWidth="1"/>
    <col min="9" max="9" width="15" customWidth="1"/>
    <col min="10" max="10" width="12" customWidth="1"/>
    <col min="11" max="11" width="16" customWidth="1"/>
  </cols>
  <sheetData>
    <row r="1" spans="1:11" x14ac:dyDescent="0.3">
      <c r="A1" s="2" t="s">
        <v>35</v>
      </c>
      <c r="B1" s="2" t="s">
        <v>36</v>
      </c>
      <c r="C1" s="2" t="s">
        <v>5</v>
      </c>
      <c r="D1" s="2" t="s">
        <v>37</v>
      </c>
      <c r="E1" s="2" t="s">
        <v>7</v>
      </c>
      <c r="F1" s="2" t="s">
        <v>38</v>
      </c>
      <c r="G1" s="2" t="s">
        <v>39</v>
      </c>
      <c r="H1" s="2" t="s">
        <v>8</v>
      </c>
      <c r="I1" s="2" t="s">
        <v>40</v>
      </c>
      <c r="J1" s="2" t="s">
        <v>41</v>
      </c>
      <c r="K1" s="2" t="s">
        <v>42</v>
      </c>
    </row>
    <row r="2" spans="1:11" x14ac:dyDescent="0.3">
      <c r="A2" t="s">
        <v>43</v>
      </c>
      <c r="B2" s="3">
        <v>45661</v>
      </c>
      <c r="C2" t="s">
        <v>9</v>
      </c>
      <c r="D2">
        <v>1</v>
      </c>
      <c r="E2" t="s">
        <v>16</v>
      </c>
      <c r="F2" t="s">
        <v>44</v>
      </c>
      <c r="G2" t="s">
        <v>45</v>
      </c>
      <c r="H2" t="s">
        <v>14</v>
      </c>
      <c r="I2" s="4">
        <v>946</v>
      </c>
      <c r="J2" t="s">
        <v>46</v>
      </c>
      <c r="K2" t="s">
        <v>47</v>
      </c>
    </row>
    <row r="3" spans="1:11" x14ac:dyDescent="0.3">
      <c r="A3" t="s">
        <v>48</v>
      </c>
      <c r="B3" s="3">
        <v>45665</v>
      </c>
      <c r="C3" t="s">
        <v>9</v>
      </c>
      <c r="D3">
        <v>1</v>
      </c>
      <c r="E3" t="s">
        <v>27</v>
      </c>
      <c r="F3" t="s">
        <v>49</v>
      </c>
      <c r="G3" t="s">
        <v>50</v>
      </c>
      <c r="H3" t="s">
        <v>20</v>
      </c>
      <c r="I3" s="4">
        <v>1020</v>
      </c>
      <c r="J3" t="s">
        <v>46</v>
      </c>
      <c r="K3" t="s">
        <v>47</v>
      </c>
    </row>
    <row r="4" spans="1:11" x14ac:dyDescent="0.3">
      <c r="A4" t="s">
        <v>51</v>
      </c>
      <c r="B4" s="3">
        <v>45665</v>
      </c>
      <c r="C4" t="s">
        <v>9</v>
      </c>
      <c r="D4">
        <v>1</v>
      </c>
      <c r="E4" t="s">
        <v>22</v>
      </c>
      <c r="F4" t="s">
        <v>52</v>
      </c>
      <c r="G4" t="s">
        <v>53</v>
      </c>
      <c r="H4" t="s">
        <v>17</v>
      </c>
      <c r="I4" s="4">
        <v>656</v>
      </c>
      <c r="J4" t="s">
        <v>46</v>
      </c>
      <c r="K4" t="s">
        <v>47</v>
      </c>
    </row>
    <row r="5" spans="1:11" x14ac:dyDescent="0.3">
      <c r="A5" t="s">
        <v>54</v>
      </c>
      <c r="B5" s="3">
        <v>45666</v>
      </c>
      <c r="C5" t="s">
        <v>9</v>
      </c>
      <c r="D5">
        <v>1</v>
      </c>
      <c r="E5" t="s">
        <v>13</v>
      </c>
      <c r="F5" t="s">
        <v>55</v>
      </c>
      <c r="G5" t="s">
        <v>56</v>
      </c>
      <c r="H5" t="s">
        <v>14</v>
      </c>
      <c r="I5" s="4">
        <v>493</v>
      </c>
      <c r="J5" t="s">
        <v>46</v>
      </c>
      <c r="K5" t="s">
        <v>47</v>
      </c>
    </row>
    <row r="6" spans="1:11" x14ac:dyDescent="0.3">
      <c r="A6" t="s">
        <v>57</v>
      </c>
      <c r="B6" s="3">
        <v>45671</v>
      </c>
      <c r="C6" t="s">
        <v>9</v>
      </c>
      <c r="D6">
        <v>1</v>
      </c>
      <c r="E6" t="s">
        <v>22</v>
      </c>
      <c r="F6" t="s">
        <v>52</v>
      </c>
      <c r="G6" t="s">
        <v>53</v>
      </c>
      <c r="H6" t="s">
        <v>14</v>
      </c>
      <c r="I6" s="4">
        <v>1687</v>
      </c>
      <c r="J6" t="s">
        <v>46</v>
      </c>
      <c r="K6" t="s">
        <v>47</v>
      </c>
    </row>
    <row r="7" spans="1:11" x14ac:dyDescent="0.3">
      <c r="A7" t="s">
        <v>58</v>
      </c>
      <c r="B7" s="3">
        <v>45672</v>
      </c>
      <c r="C7" t="s">
        <v>9</v>
      </c>
      <c r="D7">
        <v>1</v>
      </c>
      <c r="E7" t="s">
        <v>19</v>
      </c>
      <c r="F7" t="s">
        <v>59</v>
      </c>
      <c r="G7" t="s">
        <v>60</v>
      </c>
      <c r="H7" t="s">
        <v>23</v>
      </c>
      <c r="I7" s="4">
        <v>1597</v>
      </c>
      <c r="J7" t="s">
        <v>46</v>
      </c>
      <c r="K7" t="s">
        <v>47</v>
      </c>
    </row>
    <row r="8" spans="1:11" x14ac:dyDescent="0.3">
      <c r="A8" t="s">
        <v>61</v>
      </c>
      <c r="B8" s="3">
        <v>45673</v>
      </c>
      <c r="C8" t="s">
        <v>9</v>
      </c>
      <c r="D8">
        <v>1</v>
      </c>
      <c r="E8" t="s">
        <v>13</v>
      </c>
      <c r="F8" t="s">
        <v>62</v>
      </c>
      <c r="G8" t="s">
        <v>63</v>
      </c>
      <c r="H8" t="s">
        <v>23</v>
      </c>
      <c r="I8" s="4">
        <v>516</v>
      </c>
      <c r="J8" t="s">
        <v>46</v>
      </c>
      <c r="K8" t="s">
        <v>47</v>
      </c>
    </row>
    <row r="9" spans="1:11" x14ac:dyDescent="0.3">
      <c r="A9" t="s">
        <v>64</v>
      </c>
      <c r="B9" s="3">
        <v>45674</v>
      </c>
      <c r="C9" t="s">
        <v>9</v>
      </c>
      <c r="D9">
        <v>1</v>
      </c>
      <c r="E9" t="s">
        <v>25</v>
      </c>
      <c r="F9" t="s">
        <v>65</v>
      </c>
      <c r="G9" t="s">
        <v>66</v>
      </c>
      <c r="H9" t="s">
        <v>14</v>
      </c>
      <c r="I9" s="4">
        <v>648</v>
      </c>
      <c r="J9" t="s">
        <v>46</v>
      </c>
      <c r="K9" t="s">
        <v>47</v>
      </c>
    </row>
    <row r="10" spans="1:11" x14ac:dyDescent="0.3">
      <c r="A10" t="s">
        <v>67</v>
      </c>
      <c r="B10" s="3">
        <v>45675</v>
      </c>
      <c r="C10" t="s">
        <v>9</v>
      </c>
      <c r="D10">
        <v>1</v>
      </c>
      <c r="E10" t="s">
        <v>25</v>
      </c>
      <c r="F10" t="s">
        <v>68</v>
      </c>
      <c r="G10" t="s">
        <v>66</v>
      </c>
      <c r="H10" t="s">
        <v>17</v>
      </c>
      <c r="I10" s="4">
        <v>369</v>
      </c>
      <c r="J10" t="s">
        <v>46</v>
      </c>
      <c r="K10" t="s">
        <v>47</v>
      </c>
    </row>
    <row r="11" spans="1:11" x14ac:dyDescent="0.3">
      <c r="A11" t="s">
        <v>69</v>
      </c>
      <c r="B11" s="3">
        <v>45676</v>
      </c>
      <c r="C11" t="s">
        <v>9</v>
      </c>
      <c r="D11">
        <v>1</v>
      </c>
      <c r="E11" t="s">
        <v>13</v>
      </c>
      <c r="F11" t="s">
        <v>62</v>
      </c>
      <c r="G11" t="s">
        <v>70</v>
      </c>
      <c r="H11" t="s">
        <v>14</v>
      </c>
      <c r="I11" s="4">
        <v>1332</v>
      </c>
      <c r="J11" t="s">
        <v>46</v>
      </c>
      <c r="K11" t="s">
        <v>47</v>
      </c>
    </row>
    <row r="12" spans="1:11" x14ac:dyDescent="0.3">
      <c r="A12" t="s">
        <v>71</v>
      </c>
      <c r="B12" s="3">
        <v>45676</v>
      </c>
      <c r="C12" t="s">
        <v>9</v>
      </c>
      <c r="D12">
        <v>1</v>
      </c>
      <c r="E12" t="s">
        <v>25</v>
      </c>
      <c r="F12" t="s">
        <v>68</v>
      </c>
      <c r="G12" t="s">
        <v>66</v>
      </c>
      <c r="H12" t="s">
        <v>20</v>
      </c>
      <c r="I12" s="4">
        <v>1231</v>
      </c>
      <c r="J12" t="s">
        <v>46</v>
      </c>
      <c r="K12" t="s">
        <v>47</v>
      </c>
    </row>
    <row r="13" spans="1:11" x14ac:dyDescent="0.3">
      <c r="A13" t="s">
        <v>72</v>
      </c>
      <c r="B13" s="3">
        <v>45676</v>
      </c>
      <c r="C13" t="s">
        <v>9</v>
      </c>
      <c r="D13">
        <v>1</v>
      </c>
      <c r="E13" t="s">
        <v>29</v>
      </c>
      <c r="F13" t="s">
        <v>73</v>
      </c>
      <c r="G13" t="s">
        <v>74</v>
      </c>
      <c r="H13" t="s">
        <v>17</v>
      </c>
      <c r="I13" s="4">
        <v>894</v>
      </c>
      <c r="J13" t="s">
        <v>46</v>
      </c>
      <c r="K13" t="s">
        <v>47</v>
      </c>
    </row>
    <row r="14" spans="1:11" x14ac:dyDescent="0.3">
      <c r="A14" t="s">
        <v>75</v>
      </c>
      <c r="B14" s="3">
        <v>45680</v>
      </c>
      <c r="C14" t="s">
        <v>9</v>
      </c>
      <c r="D14">
        <v>1</v>
      </c>
      <c r="E14" t="s">
        <v>22</v>
      </c>
      <c r="F14" t="s">
        <v>76</v>
      </c>
      <c r="G14" t="s">
        <v>77</v>
      </c>
      <c r="H14" t="s">
        <v>20</v>
      </c>
      <c r="I14" s="4">
        <v>277</v>
      </c>
      <c r="J14" t="s">
        <v>46</v>
      </c>
      <c r="K14" t="s">
        <v>47</v>
      </c>
    </row>
    <row r="15" spans="1:11" x14ac:dyDescent="0.3">
      <c r="A15" t="s">
        <v>78</v>
      </c>
      <c r="B15" s="3">
        <v>45680</v>
      </c>
      <c r="C15" t="s">
        <v>9</v>
      </c>
      <c r="D15">
        <v>1</v>
      </c>
      <c r="E15" t="s">
        <v>27</v>
      </c>
      <c r="F15" t="s">
        <v>49</v>
      </c>
      <c r="G15" t="s">
        <v>79</v>
      </c>
      <c r="H15" t="s">
        <v>14</v>
      </c>
      <c r="I15" s="4">
        <v>2229</v>
      </c>
      <c r="J15" t="s">
        <v>46</v>
      </c>
      <c r="K15" t="s">
        <v>47</v>
      </c>
    </row>
    <row r="16" spans="1:11" x14ac:dyDescent="0.3">
      <c r="A16" t="s">
        <v>80</v>
      </c>
      <c r="B16" s="3">
        <v>45681</v>
      </c>
      <c r="C16" t="s">
        <v>9</v>
      </c>
      <c r="D16">
        <v>1</v>
      </c>
      <c r="E16" t="s">
        <v>19</v>
      </c>
      <c r="F16" t="s">
        <v>81</v>
      </c>
      <c r="G16" t="s">
        <v>82</v>
      </c>
      <c r="H16" t="s">
        <v>20</v>
      </c>
      <c r="I16" s="4">
        <v>5307</v>
      </c>
      <c r="J16" t="s">
        <v>46</v>
      </c>
      <c r="K16" t="s">
        <v>47</v>
      </c>
    </row>
    <row r="17" spans="1:11" x14ac:dyDescent="0.3">
      <c r="A17" t="s">
        <v>83</v>
      </c>
      <c r="B17" s="3">
        <v>45681</v>
      </c>
      <c r="C17" t="s">
        <v>9</v>
      </c>
      <c r="D17">
        <v>1</v>
      </c>
      <c r="E17" t="s">
        <v>10</v>
      </c>
      <c r="F17" t="s">
        <v>84</v>
      </c>
      <c r="G17" t="s">
        <v>85</v>
      </c>
      <c r="H17" t="s">
        <v>20</v>
      </c>
      <c r="I17" s="4">
        <v>1508</v>
      </c>
      <c r="J17" t="s">
        <v>46</v>
      </c>
      <c r="K17" t="s">
        <v>47</v>
      </c>
    </row>
    <row r="18" spans="1:11" x14ac:dyDescent="0.3">
      <c r="A18" t="s">
        <v>86</v>
      </c>
      <c r="B18" s="3">
        <v>45681</v>
      </c>
      <c r="C18" t="s">
        <v>9</v>
      </c>
      <c r="D18">
        <v>1</v>
      </c>
      <c r="E18" t="s">
        <v>10</v>
      </c>
      <c r="F18" t="s">
        <v>84</v>
      </c>
      <c r="G18" t="s">
        <v>87</v>
      </c>
      <c r="H18" t="s">
        <v>11</v>
      </c>
      <c r="I18" s="4">
        <v>1088</v>
      </c>
      <c r="J18" t="s">
        <v>46</v>
      </c>
      <c r="K18" t="s">
        <v>47</v>
      </c>
    </row>
    <row r="19" spans="1:11" x14ac:dyDescent="0.3">
      <c r="A19" t="s">
        <v>88</v>
      </c>
      <c r="B19" s="3">
        <v>45682</v>
      </c>
      <c r="C19" t="s">
        <v>9</v>
      </c>
      <c r="D19">
        <v>1</v>
      </c>
      <c r="E19" t="s">
        <v>13</v>
      </c>
      <c r="F19" t="s">
        <v>62</v>
      </c>
      <c r="G19" t="s">
        <v>89</v>
      </c>
      <c r="H19" t="s">
        <v>20</v>
      </c>
      <c r="I19" s="4">
        <v>1325</v>
      </c>
      <c r="J19" t="s">
        <v>46</v>
      </c>
      <c r="K19" t="s">
        <v>47</v>
      </c>
    </row>
    <row r="20" spans="1:11" x14ac:dyDescent="0.3">
      <c r="A20" t="s">
        <v>90</v>
      </c>
      <c r="B20" s="3">
        <v>45683</v>
      </c>
      <c r="C20" t="s">
        <v>9</v>
      </c>
      <c r="D20">
        <v>1</v>
      </c>
      <c r="E20" t="s">
        <v>13</v>
      </c>
      <c r="F20" t="s">
        <v>55</v>
      </c>
      <c r="G20" t="s">
        <v>56</v>
      </c>
      <c r="H20" t="s">
        <v>20</v>
      </c>
      <c r="I20" s="4">
        <v>947</v>
      </c>
      <c r="J20" t="s">
        <v>46</v>
      </c>
      <c r="K20" t="s">
        <v>47</v>
      </c>
    </row>
    <row r="21" spans="1:11" x14ac:dyDescent="0.3">
      <c r="A21" t="s">
        <v>91</v>
      </c>
      <c r="B21" s="3">
        <v>45686</v>
      </c>
      <c r="C21" t="s">
        <v>9</v>
      </c>
      <c r="D21">
        <v>1</v>
      </c>
      <c r="E21" t="s">
        <v>10</v>
      </c>
      <c r="F21" t="s">
        <v>92</v>
      </c>
      <c r="G21" t="s">
        <v>85</v>
      </c>
      <c r="H21" t="s">
        <v>14</v>
      </c>
      <c r="I21" s="4">
        <v>697</v>
      </c>
      <c r="J21" t="s">
        <v>46</v>
      </c>
      <c r="K21" t="s">
        <v>47</v>
      </c>
    </row>
    <row r="22" spans="1:11" x14ac:dyDescent="0.3">
      <c r="A22" t="s">
        <v>93</v>
      </c>
      <c r="B22" s="3">
        <v>45687</v>
      </c>
      <c r="C22" t="s">
        <v>9</v>
      </c>
      <c r="D22">
        <v>1</v>
      </c>
      <c r="E22" t="s">
        <v>10</v>
      </c>
      <c r="F22" t="s">
        <v>84</v>
      </c>
      <c r="G22" t="s">
        <v>87</v>
      </c>
      <c r="H22" t="s">
        <v>23</v>
      </c>
      <c r="I22" s="4">
        <v>197</v>
      </c>
      <c r="J22" t="s">
        <v>46</v>
      </c>
      <c r="K22" t="s">
        <v>47</v>
      </c>
    </row>
    <row r="23" spans="1:11" x14ac:dyDescent="0.3">
      <c r="A23" t="s">
        <v>94</v>
      </c>
      <c r="B23" s="3">
        <v>45688</v>
      </c>
      <c r="C23" t="s">
        <v>9</v>
      </c>
      <c r="D23">
        <v>1</v>
      </c>
      <c r="E23" t="s">
        <v>16</v>
      </c>
      <c r="F23" t="s">
        <v>95</v>
      </c>
      <c r="G23" t="s">
        <v>45</v>
      </c>
      <c r="H23" t="s">
        <v>20</v>
      </c>
      <c r="I23" s="4">
        <v>1468</v>
      </c>
      <c r="J23" t="s">
        <v>46</v>
      </c>
      <c r="K23" t="s">
        <v>47</v>
      </c>
    </row>
    <row r="24" spans="1:11" x14ac:dyDescent="0.3">
      <c r="A24" t="s">
        <v>96</v>
      </c>
      <c r="B24" s="3">
        <v>45689</v>
      </c>
      <c r="C24" t="s">
        <v>12</v>
      </c>
      <c r="D24">
        <v>2</v>
      </c>
      <c r="E24" t="s">
        <v>27</v>
      </c>
      <c r="F24" t="s">
        <v>97</v>
      </c>
      <c r="G24" t="s">
        <v>50</v>
      </c>
      <c r="H24" t="s">
        <v>14</v>
      </c>
      <c r="I24" s="4">
        <v>1489</v>
      </c>
      <c r="J24" t="s">
        <v>46</v>
      </c>
      <c r="K24" t="s">
        <v>98</v>
      </c>
    </row>
    <row r="25" spans="1:11" x14ac:dyDescent="0.3">
      <c r="A25" t="s">
        <v>99</v>
      </c>
      <c r="B25" s="3">
        <v>45690</v>
      </c>
      <c r="C25" t="s">
        <v>12</v>
      </c>
      <c r="D25">
        <v>2</v>
      </c>
      <c r="E25" t="s">
        <v>27</v>
      </c>
      <c r="F25" t="s">
        <v>100</v>
      </c>
      <c r="G25" t="s">
        <v>79</v>
      </c>
      <c r="H25" t="s">
        <v>20</v>
      </c>
      <c r="I25" s="4">
        <v>1455</v>
      </c>
      <c r="J25" t="s">
        <v>46</v>
      </c>
      <c r="K25" t="s">
        <v>98</v>
      </c>
    </row>
    <row r="26" spans="1:11" x14ac:dyDescent="0.3">
      <c r="A26" t="s">
        <v>101</v>
      </c>
      <c r="B26" s="3">
        <v>45691</v>
      </c>
      <c r="C26" t="s">
        <v>12</v>
      </c>
      <c r="D26">
        <v>2</v>
      </c>
      <c r="E26" t="s">
        <v>27</v>
      </c>
      <c r="F26" t="s">
        <v>100</v>
      </c>
      <c r="G26" t="s">
        <v>79</v>
      </c>
      <c r="H26" t="s">
        <v>11</v>
      </c>
      <c r="I26" s="4">
        <v>403</v>
      </c>
      <c r="J26" t="s">
        <v>46</v>
      </c>
      <c r="K26" t="s">
        <v>98</v>
      </c>
    </row>
    <row r="27" spans="1:11" x14ac:dyDescent="0.3">
      <c r="A27" t="s">
        <v>102</v>
      </c>
      <c r="B27" s="3">
        <v>45693</v>
      </c>
      <c r="C27" t="s">
        <v>12</v>
      </c>
      <c r="D27">
        <v>2</v>
      </c>
      <c r="E27" t="s">
        <v>25</v>
      </c>
      <c r="F27" t="s">
        <v>103</v>
      </c>
      <c r="G27" t="s">
        <v>104</v>
      </c>
      <c r="H27" t="s">
        <v>11</v>
      </c>
      <c r="I27" s="4">
        <v>960</v>
      </c>
      <c r="J27" t="s">
        <v>46</v>
      </c>
      <c r="K27" t="s">
        <v>98</v>
      </c>
    </row>
    <row r="28" spans="1:11" x14ac:dyDescent="0.3">
      <c r="A28" t="s">
        <v>105</v>
      </c>
      <c r="B28" s="3">
        <v>45694</v>
      </c>
      <c r="C28" t="s">
        <v>12</v>
      </c>
      <c r="D28">
        <v>2</v>
      </c>
      <c r="E28" t="s">
        <v>10</v>
      </c>
      <c r="F28" t="s">
        <v>92</v>
      </c>
      <c r="G28" t="s">
        <v>87</v>
      </c>
      <c r="H28" t="s">
        <v>17</v>
      </c>
      <c r="I28" s="4">
        <v>218</v>
      </c>
      <c r="J28" t="s">
        <v>46</v>
      </c>
      <c r="K28" t="s">
        <v>98</v>
      </c>
    </row>
    <row r="29" spans="1:11" x14ac:dyDescent="0.3">
      <c r="A29" t="s">
        <v>106</v>
      </c>
      <c r="B29" s="3">
        <v>45694</v>
      </c>
      <c r="C29" t="s">
        <v>12</v>
      </c>
      <c r="D29">
        <v>2</v>
      </c>
      <c r="E29" t="s">
        <v>19</v>
      </c>
      <c r="F29" t="s">
        <v>81</v>
      </c>
      <c r="G29" t="s">
        <v>82</v>
      </c>
      <c r="H29" t="s">
        <v>23</v>
      </c>
      <c r="I29" s="4">
        <v>4276</v>
      </c>
      <c r="J29" t="s">
        <v>46</v>
      </c>
      <c r="K29" t="s">
        <v>98</v>
      </c>
    </row>
    <row r="30" spans="1:11" x14ac:dyDescent="0.3">
      <c r="A30" t="s">
        <v>107</v>
      </c>
      <c r="B30" s="3">
        <v>45695</v>
      </c>
      <c r="C30" t="s">
        <v>12</v>
      </c>
      <c r="D30">
        <v>2</v>
      </c>
      <c r="E30" t="s">
        <v>13</v>
      </c>
      <c r="F30" t="s">
        <v>55</v>
      </c>
      <c r="G30" t="s">
        <v>89</v>
      </c>
      <c r="H30" t="s">
        <v>11</v>
      </c>
      <c r="I30" s="4">
        <v>1285</v>
      </c>
      <c r="J30" t="s">
        <v>46</v>
      </c>
      <c r="K30" t="s">
        <v>98</v>
      </c>
    </row>
    <row r="31" spans="1:11" x14ac:dyDescent="0.3">
      <c r="A31" t="s">
        <v>108</v>
      </c>
      <c r="B31" s="3">
        <v>45696</v>
      </c>
      <c r="C31" t="s">
        <v>12</v>
      </c>
      <c r="D31">
        <v>2</v>
      </c>
      <c r="E31" t="s">
        <v>19</v>
      </c>
      <c r="F31" t="s">
        <v>109</v>
      </c>
      <c r="G31" t="s">
        <v>110</v>
      </c>
      <c r="H31" t="s">
        <v>23</v>
      </c>
      <c r="I31" s="4">
        <v>2770</v>
      </c>
      <c r="J31" t="s">
        <v>46</v>
      </c>
      <c r="K31" t="s">
        <v>98</v>
      </c>
    </row>
    <row r="32" spans="1:11" x14ac:dyDescent="0.3">
      <c r="A32" t="s">
        <v>111</v>
      </c>
      <c r="B32" s="3">
        <v>45701</v>
      </c>
      <c r="C32" t="s">
        <v>12</v>
      </c>
      <c r="D32">
        <v>2</v>
      </c>
      <c r="E32" t="s">
        <v>19</v>
      </c>
      <c r="F32" t="s">
        <v>59</v>
      </c>
      <c r="G32" t="s">
        <v>60</v>
      </c>
      <c r="H32" t="s">
        <v>23</v>
      </c>
      <c r="I32" s="4">
        <v>3629</v>
      </c>
      <c r="J32" t="s">
        <v>46</v>
      </c>
      <c r="K32" t="s">
        <v>98</v>
      </c>
    </row>
    <row r="33" spans="1:11" x14ac:dyDescent="0.3">
      <c r="A33" t="s">
        <v>112</v>
      </c>
      <c r="B33" s="3">
        <v>45704</v>
      </c>
      <c r="C33" t="s">
        <v>12</v>
      </c>
      <c r="D33">
        <v>2</v>
      </c>
      <c r="E33" t="s">
        <v>27</v>
      </c>
      <c r="F33" t="s">
        <v>49</v>
      </c>
      <c r="G33" t="s">
        <v>79</v>
      </c>
      <c r="H33" t="s">
        <v>11</v>
      </c>
      <c r="I33" s="4">
        <v>2695</v>
      </c>
      <c r="J33" t="s">
        <v>46</v>
      </c>
      <c r="K33" t="s">
        <v>98</v>
      </c>
    </row>
    <row r="34" spans="1:11" x14ac:dyDescent="0.3">
      <c r="A34" t="s">
        <v>113</v>
      </c>
      <c r="B34" s="3">
        <v>45704</v>
      </c>
      <c r="C34" t="s">
        <v>12</v>
      </c>
      <c r="D34">
        <v>2</v>
      </c>
      <c r="E34" t="s">
        <v>19</v>
      </c>
      <c r="F34" t="s">
        <v>81</v>
      </c>
      <c r="G34" t="s">
        <v>60</v>
      </c>
      <c r="H34" t="s">
        <v>17</v>
      </c>
      <c r="I34" s="4">
        <v>3739</v>
      </c>
      <c r="J34" t="s">
        <v>46</v>
      </c>
      <c r="K34" t="s">
        <v>98</v>
      </c>
    </row>
    <row r="35" spans="1:11" x14ac:dyDescent="0.3">
      <c r="A35" t="s">
        <v>114</v>
      </c>
      <c r="B35" s="3">
        <v>45708</v>
      </c>
      <c r="C35" t="s">
        <v>12</v>
      </c>
      <c r="D35">
        <v>2</v>
      </c>
      <c r="E35" t="s">
        <v>13</v>
      </c>
      <c r="F35" t="s">
        <v>62</v>
      </c>
      <c r="G35" t="s">
        <v>56</v>
      </c>
      <c r="H35" t="s">
        <v>14</v>
      </c>
      <c r="I35" s="4">
        <v>920</v>
      </c>
      <c r="J35" t="s">
        <v>46</v>
      </c>
      <c r="K35" t="s">
        <v>98</v>
      </c>
    </row>
    <row r="36" spans="1:11" x14ac:dyDescent="0.3">
      <c r="A36" t="s">
        <v>115</v>
      </c>
      <c r="B36" s="3">
        <v>45708</v>
      </c>
      <c r="C36" t="s">
        <v>12</v>
      </c>
      <c r="D36">
        <v>2</v>
      </c>
      <c r="E36" t="s">
        <v>25</v>
      </c>
      <c r="F36" t="s">
        <v>68</v>
      </c>
      <c r="G36" t="s">
        <v>104</v>
      </c>
      <c r="H36" t="s">
        <v>11</v>
      </c>
      <c r="I36" s="4">
        <v>1420</v>
      </c>
      <c r="J36" t="s">
        <v>46</v>
      </c>
      <c r="K36" t="s">
        <v>98</v>
      </c>
    </row>
    <row r="37" spans="1:11" x14ac:dyDescent="0.3">
      <c r="A37" t="s">
        <v>116</v>
      </c>
      <c r="B37" s="3">
        <v>45710</v>
      </c>
      <c r="C37" t="s">
        <v>12</v>
      </c>
      <c r="D37">
        <v>2</v>
      </c>
      <c r="E37" t="s">
        <v>10</v>
      </c>
      <c r="F37" t="s">
        <v>84</v>
      </c>
      <c r="G37" t="s">
        <v>117</v>
      </c>
      <c r="H37" t="s">
        <v>20</v>
      </c>
      <c r="I37" s="4">
        <v>1041</v>
      </c>
      <c r="J37" t="s">
        <v>46</v>
      </c>
      <c r="K37" t="s">
        <v>98</v>
      </c>
    </row>
    <row r="38" spans="1:11" x14ac:dyDescent="0.3">
      <c r="A38" t="s">
        <v>118</v>
      </c>
      <c r="B38" s="3">
        <v>45713</v>
      </c>
      <c r="C38" t="s">
        <v>12</v>
      </c>
      <c r="D38">
        <v>2</v>
      </c>
      <c r="E38" t="s">
        <v>19</v>
      </c>
      <c r="F38" t="s">
        <v>81</v>
      </c>
      <c r="G38" t="s">
        <v>110</v>
      </c>
      <c r="H38" t="s">
        <v>23</v>
      </c>
      <c r="I38" s="4">
        <v>505</v>
      </c>
      <c r="J38" t="s">
        <v>46</v>
      </c>
      <c r="K38" t="s">
        <v>98</v>
      </c>
    </row>
    <row r="39" spans="1:11" x14ac:dyDescent="0.3">
      <c r="A39" t="s">
        <v>119</v>
      </c>
      <c r="B39" s="3">
        <v>45715</v>
      </c>
      <c r="C39" t="s">
        <v>12</v>
      </c>
      <c r="D39">
        <v>2</v>
      </c>
      <c r="E39" t="s">
        <v>22</v>
      </c>
      <c r="F39" t="s">
        <v>76</v>
      </c>
      <c r="G39" t="s">
        <v>53</v>
      </c>
      <c r="H39" t="s">
        <v>11</v>
      </c>
      <c r="I39" s="4">
        <v>797</v>
      </c>
      <c r="J39" t="s">
        <v>46</v>
      </c>
      <c r="K39" t="s">
        <v>98</v>
      </c>
    </row>
    <row r="40" spans="1:11" x14ac:dyDescent="0.3">
      <c r="A40" t="s">
        <v>120</v>
      </c>
      <c r="B40" s="3">
        <v>45715</v>
      </c>
      <c r="C40" t="s">
        <v>12</v>
      </c>
      <c r="D40">
        <v>2</v>
      </c>
      <c r="E40" t="s">
        <v>25</v>
      </c>
      <c r="F40" t="s">
        <v>65</v>
      </c>
      <c r="G40" t="s">
        <v>66</v>
      </c>
      <c r="H40" t="s">
        <v>14</v>
      </c>
      <c r="I40" s="4">
        <v>590</v>
      </c>
      <c r="J40" t="s">
        <v>46</v>
      </c>
      <c r="K40" t="s">
        <v>98</v>
      </c>
    </row>
    <row r="41" spans="1:11" x14ac:dyDescent="0.3">
      <c r="A41" t="s">
        <v>121</v>
      </c>
      <c r="B41" s="3">
        <v>45716</v>
      </c>
      <c r="C41" t="s">
        <v>12</v>
      </c>
      <c r="D41">
        <v>2</v>
      </c>
      <c r="E41" t="s">
        <v>25</v>
      </c>
      <c r="F41" t="s">
        <v>65</v>
      </c>
      <c r="G41" t="s">
        <v>104</v>
      </c>
      <c r="H41" t="s">
        <v>23</v>
      </c>
      <c r="I41" s="4">
        <v>327</v>
      </c>
      <c r="J41" t="s">
        <v>46</v>
      </c>
      <c r="K41" t="s">
        <v>98</v>
      </c>
    </row>
    <row r="42" spans="1:11" x14ac:dyDescent="0.3">
      <c r="A42" t="s">
        <v>122</v>
      </c>
      <c r="B42" s="3">
        <v>45716</v>
      </c>
      <c r="C42" t="s">
        <v>12</v>
      </c>
      <c r="D42">
        <v>2</v>
      </c>
      <c r="E42" t="s">
        <v>13</v>
      </c>
      <c r="F42" t="s">
        <v>123</v>
      </c>
      <c r="G42" t="s">
        <v>70</v>
      </c>
      <c r="H42" t="s">
        <v>23</v>
      </c>
      <c r="I42" s="4">
        <v>958</v>
      </c>
      <c r="J42" t="s">
        <v>46</v>
      </c>
      <c r="K42" t="s">
        <v>98</v>
      </c>
    </row>
    <row r="43" spans="1:11" x14ac:dyDescent="0.3">
      <c r="A43" t="s">
        <v>124</v>
      </c>
      <c r="B43" s="3">
        <v>45717</v>
      </c>
      <c r="C43" t="s">
        <v>15</v>
      </c>
      <c r="D43">
        <v>3</v>
      </c>
      <c r="E43" t="s">
        <v>27</v>
      </c>
      <c r="F43" t="s">
        <v>97</v>
      </c>
      <c r="G43" t="s">
        <v>79</v>
      </c>
      <c r="H43" t="s">
        <v>23</v>
      </c>
      <c r="I43" s="4">
        <v>104</v>
      </c>
      <c r="J43" t="s">
        <v>46</v>
      </c>
      <c r="K43" t="s">
        <v>125</v>
      </c>
    </row>
    <row r="44" spans="1:11" x14ac:dyDescent="0.3">
      <c r="A44" t="s">
        <v>126</v>
      </c>
      <c r="B44" s="3">
        <v>45717</v>
      </c>
      <c r="C44" t="s">
        <v>15</v>
      </c>
      <c r="D44">
        <v>3</v>
      </c>
      <c r="E44" t="s">
        <v>22</v>
      </c>
      <c r="F44" t="s">
        <v>127</v>
      </c>
      <c r="G44" t="s">
        <v>77</v>
      </c>
      <c r="H44" t="s">
        <v>11</v>
      </c>
      <c r="I44" s="4">
        <v>1237</v>
      </c>
      <c r="J44" t="s">
        <v>46</v>
      </c>
      <c r="K44" t="s">
        <v>125</v>
      </c>
    </row>
    <row r="45" spans="1:11" x14ac:dyDescent="0.3">
      <c r="A45" t="s">
        <v>128</v>
      </c>
      <c r="B45" s="3">
        <v>45718</v>
      </c>
      <c r="C45" t="s">
        <v>15</v>
      </c>
      <c r="D45">
        <v>3</v>
      </c>
      <c r="E45" t="s">
        <v>16</v>
      </c>
      <c r="F45" t="s">
        <v>44</v>
      </c>
      <c r="G45" t="s">
        <v>45</v>
      </c>
      <c r="H45" t="s">
        <v>23</v>
      </c>
      <c r="I45" s="4">
        <v>2160</v>
      </c>
      <c r="J45" t="s">
        <v>46</v>
      </c>
      <c r="K45" t="s">
        <v>125</v>
      </c>
    </row>
    <row r="46" spans="1:11" x14ac:dyDescent="0.3">
      <c r="A46" t="s">
        <v>129</v>
      </c>
      <c r="B46" s="3">
        <v>45719</v>
      </c>
      <c r="C46" t="s">
        <v>15</v>
      </c>
      <c r="D46">
        <v>3</v>
      </c>
      <c r="E46" t="s">
        <v>10</v>
      </c>
      <c r="F46" t="s">
        <v>84</v>
      </c>
      <c r="G46" t="s">
        <v>117</v>
      </c>
      <c r="H46" t="s">
        <v>17</v>
      </c>
      <c r="I46" s="4">
        <v>1171</v>
      </c>
      <c r="J46" t="s">
        <v>46</v>
      </c>
      <c r="K46" t="s">
        <v>125</v>
      </c>
    </row>
    <row r="47" spans="1:11" x14ac:dyDescent="0.3">
      <c r="A47" t="s">
        <v>130</v>
      </c>
      <c r="B47" s="3">
        <v>45721</v>
      </c>
      <c r="C47" t="s">
        <v>15</v>
      </c>
      <c r="D47">
        <v>3</v>
      </c>
      <c r="E47" t="s">
        <v>29</v>
      </c>
      <c r="F47" t="s">
        <v>131</v>
      </c>
      <c r="G47" t="s">
        <v>132</v>
      </c>
      <c r="H47" t="s">
        <v>20</v>
      </c>
      <c r="I47" s="4">
        <v>872</v>
      </c>
      <c r="J47" t="s">
        <v>46</v>
      </c>
      <c r="K47" t="s">
        <v>125</v>
      </c>
    </row>
    <row r="48" spans="1:11" x14ac:dyDescent="0.3">
      <c r="A48" t="s">
        <v>133</v>
      </c>
      <c r="B48" s="3">
        <v>45722</v>
      </c>
      <c r="C48" t="s">
        <v>15</v>
      </c>
      <c r="D48">
        <v>3</v>
      </c>
      <c r="E48" t="s">
        <v>22</v>
      </c>
      <c r="F48" t="s">
        <v>52</v>
      </c>
      <c r="G48" t="s">
        <v>134</v>
      </c>
      <c r="H48" t="s">
        <v>17</v>
      </c>
      <c r="I48" s="4">
        <v>2396</v>
      </c>
      <c r="J48" t="s">
        <v>46</v>
      </c>
      <c r="K48" t="s">
        <v>125</v>
      </c>
    </row>
    <row r="49" spans="1:11" x14ac:dyDescent="0.3">
      <c r="A49" t="s">
        <v>135</v>
      </c>
      <c r="B49" s="3">
        <v>45723</v>
      </c>
      <c r="C49" t="s">
        <v>15</v>
      </c>
      <c r="D49">
        <v>3</v>
      </c>
      <c r="E49" t="s">
        <v>10</v>
      </c>
      <c r="F49" t="s">
        <v>84</v>
      </c>
      <c r="G49" t="s">
        <v>87</v>
      </c>
      <c r="H49" t="s">
        <v>17</v>
      </c>
      <c r="I49" s="4">
        <v>826</v>
      </c>
      <c r="J49" t="s">
        <v>46</v>
      </c>
      <c r="K49" t="s">
        <v>125</v>
      </c>
    </row>
    <row r="50" spans="1:11" x14ac:dyDescent="0.3">
      <c r="A50" t="s">
        <v>136</v>
      </c>
      <c r="B50" s="3">
        <v>45724</v>
      </c>
      <c r="C50" t="s">
        <v>15</v>
      </c>
      <c r="D50">
        <v>3</v>
      </c>
      <c r="E50" t="s">
        <v>22</v>
      </c>
      <c r="F50" t="s">
        <v>127</v>
      </c>
      <c r="G50" t="s">
        <v>134</v>
      </c>
      <c r="H50" t="s">
        <v>20</v>
      </c>
      <c r="I50" s="4">
        <v>1959</v>
      </c>
      <c r="J50" t="s">
        <v>46</v>
      </c>
      <c r="K50" t="s">
        <v>125</v>
      </c>
    </row>
    <row r="51" spans="1:11" x14ac:dyDescent="0.3">
      <c r="A51" t="s">
        <v>137</v>
      </c>
      <c r="B51" s="3">
        <v>45725</v>
      </c>
      <c r="C51" t="s">
        <v>15</v>
      </c>
      <c r="D51">
        <v>3</v>
      </c>
      <c r="E51" t="s">
        <v>29</v>
      </c>
      <c r="F51" t="s">
        <v>73</v>
      </c>
      <c r="G51" t="s">
        <v>74</v>
      </c>
      <c r="H51" t="s">
        <v>20</v>
      </c>
      <c r="I51" s="4">
        <v>1856</v>
      </c>
      <c r="J51" t="s">
        <v>46</v>
      </c>
      <c r="K51" t="s">
        <v>125</v>
      </c>
    </row>
    <row r="52" spans="1:11" x14ac:dyDescent="0.3">
      <c r="A52" t="s">
        <v>138</v>
      </c>
      <c r="B52" s="3">
        <v>45728</v>
      </c>
      <c r="C52" t="s">
        <v>15</v>
      </c>
      <c r="D52">
        <v>3</v>
      </c>
      <c r="E52" t="s">
        <v>16</v>
      </c>
      <c r="F52" t="s">
        <v>139</v>
      </c>
      <c r="G52" t="s">
        <v>140</v>
      </c>
      <c r="H52" t="s">
        <v>14</v>
      </c>
      <c r="I52" s="4">
        <v>1034</v>
      </c>
      <c r="J52" t="s">
        <v>46</v>
      </c>
      <c r="K52" t="s">
        <v>125</v>
      </c>
    </row>
    <row r="53" spans="1:11" x14ac:dyDescent="0.3">
      <c r="A53" t="s">
        <v>141</v>
      </c>
      <c r="B53" s="3">
        <v>45731</v>
      </c>
      <c r="C53" t="s">
        <v>15</v>
      </c>
      <c r="D53">
        <v>3</v>
      </c>
      <c r="E53" t="s">
        <v>27</v>
      </c>
      <c r="F53" t="s">
        <v>49</v>
      </c>
      <c r="G53" t="s">
        <v>79</v>
      </c>
      <c r="H53" t="s">
        <v>11</v>
      </c>
      <c r="I53" s="4">
        <v>681</v>
      </c>
      <c r="J53" t="s">
        <v>46</v>
      </c>
      <c r="K53" t="s">
        <v>125</v>
      </c>
    </row>
    <row r="54" spans="1:11" x14ac:dyDescent="0.3">
      <c r="A54" t="s">
        <v>142</v>
      </c>
      <c r="B54" s="3">
        <v>45732</v>
      </c>
      <c r="C54" t="s">
        <v>15</v>
      </c>
      <c r="D54">
        <v>3</v>
      </c>
      <c r="E54" t="s">
        <v>19</v>
      </c>
      <c r="F54" t="s">
        <v>59</v>
      </c>
      <c r="G54" t="s">
        <v>110</v>
      </c>
      <c r="H54" t="s">
        <v>14</v>
      </c>
      <c r="I54" s="4">
        <v>3675</v>
      </c>
      <c r="J54" t="s">
        <v>46</v>
      </c>
      <c r="K54" t="s">
        <v>125</v>
      </c>
    </row>
    <row r="55" spans="1:11" x14ac:dyDescent="0.3">
      <c r="A55" t="s">
        <v>143</v>
      </c>
      <c r="B55" s="3">
        <v>45733</v>
      </c>
      <c r="C55" t="s">
        <v>15</v>
      </c>
      <c r="D55">
        <v>3</v>
      </c>
      <c r="E55" t="s">
        <v>10</v>
      </c>
      <c r="F55" t="s">
        <v>84</v>
      </c>
      <c r="G55" t="s">
        <v>85</v>
      </c>
      <c r="H55" t="s">
        <v>23</v>
      </c>
      <c r="I55" s="4">
        <v>376</v>
      </c>
      <c r="J55" t="s">
        <v>46</v>
      </c>
      <c r="K55" t="s">
        <v>125</v>
      </c>
    </row>
    <row r="56" spans="1:11" x14ac:dyDescent="0.3">
      <c r="A56" t="s">
        <v>144</v>
      </c>
      <c r="B56" s="3">
        <v>45735</v>
      </c>
      <c r="C56" t="s">
        <v>15</v>
      </c>
      <c r="D56">
        <v>3</v>
      </c>
      <c r="E56" t="s">
        <v>16</v>
      </c>
      <c r="F56" t="s">
        <v>95</v>
      </c>
      <c r="G56" t="s">
        <v>140</v>
      </c>
      <c r="H56" t="s">
        <v>11</v>
      </c>
      <c r="I56" s="4">
        <v>424</v>
      </c>
      <c r="J56" t="s">
        <v>46</v>
      </c>
      <c r="K56" t="s">
        <v>125</v>
      </c>
    </row>
    <row r="57" spans="1:11" x14ac:dyDescent="0.3">
      <c r="A57" t="s">
        <v>145</v>
      </c>
      <c r="B57" s="3">
        <v>45736</v>
      </c>
      <c r="C57" t="s">
        <v>15</v>
      </c>
      <c r="D57">
        <v>3</v>
      </c>
      <c r="E57" t="s">
        <v>29</v>
      </c>
      <c r="F57" t="s">
        <v>73</v>
      </c>
      <c r="G57" t="s">
        <v>146</v>
      </c>
      <c r="H57" t="s">
        <v>11</v>
      </c>
      <c r="I57" s="4">
        <v>436</v>
      </c>
      <c r="J57" t="s">
        <v>46</v>
      </c>
      <c r="K57" t="s">
        <v>125</v>
      </c>
    </row>
    <row r="58" spans="1:11" x14ac:dyDescent="0.3">
      <c r="A58" t="s">
        <v>147</v>
      </c>
      <c r="B58" s="3">
        <v>45737</v>
      </c>
      <c r="C58" t="s">
        <v>15</v>
      </c>
      <c r="D58">
        <v>3</v>
      </c>
      <c r="E58" t="s">
        <v>29</v>
      </c>
      <c r="F58" t="s">
        <v>73</v>
      </c>
      <c r="G58" t="s">
        <v>146</v>
      </c>
      <c r="H58" t="s">
        <v>17</v>
      </c>
      <c r="I58" s="4">
        <v>1985</v>
      </c>
      <c r="J58" t="s">
        <v>46</v>
      </c>
      <c r="K58" t="s">
        <v>125</v>
      </c>
    </row>
    <row r="59" spans="1:11" x14ac:dyDescent="0.3">
      <c r="A59" t="s">
        <v>148</v>
      </c>
      <c r="B59" s="3">
        <v>45738</v>
      </c>
      <c r="C59" t="s">
        <v>15</v>
      </c>
      <c r="D59">
        <v>3</v>
      </c>
      <c r="E59" t="s">
        <v>25</v>
      </c>
      <c r="F59" t="s">
        <v>65</v>
      </c>
      <c r="G59" t="s">
        <v>104</v>
      </c>
      <c r="H59" t="s">
        <v>23</v>
      </c>
      <c r="I59" s="4">
        <v>1577</v>
      </c>
      <c r="J59" t="s">
        <v>46</v>
      </c>
      <c r="K59" t="s">
        <v>125</v>
      </c>
    </row>
    <row r="60" spans="1:11" x14ac:dyDescent="0.3">
      <c r="A60" t="s">
        <v>149</v>
      </c>
      <c r="B60" s="3">
        <v>45742</v>
      </c>
      <c r="C60" t="s">
        <v>15</v>
      </c>
      <c r="D60">
        <v>3</v>
      </c>
      <c r="E60" t="s">
        <v>22</v>
      </c>
      <c r="F60" t="s">
        <v>52</v>
      </c>
      <c r="G60" t="s">
        <v>77</v>
      </c>
      <c r="H60" t="s">
        <v>23</v>
      </c>
      <c r="I60" s="4">
        <v>1883</v>
      </c>
      <c r="J60" t="s">
        <v>46</v>
      </c>
      <c r="K60" t="s">
        <v>125</v>
      </c>
    </row>
    <row r="61" spans="1:11" x14ac:dyDescent="0.3">
      <c r="A61" t="s">
        <v>150</v>
      </c>
      <c r="B61" s="3">
        <v>45745</v>
      </c>
      <c r="C61" t="s">
        <v>15</v>
      </c>
      <c r="D61">
        <v>3</v>
      </c>
      <c r="E61" t="s">
        <v>16</v>
      </c>
      <c r="F61" t="s">
        <v>151</v>
      </c>
      <c r="G61" t="s">
        <v>140</v>
      </c>
      <c r="H61" t="s">
        <v>20</v>
      </c>
      <c r="I61" s="4">
        <v>11000</v>
      </c>
      <c r="J61" t="s">
        <v>46</v>
      </c>
      <c r="K61" t="s">
        <v>125</v>
      </c>
    </row>
    <row r="62" spans="1:11" x14ac:dyDescent="0.3">
      <c r="A62" t="s">
        <v>152</v>
      </c>
      <c r="B62" s="3">
        <v>45746</v>
      </c>
      <c r="C62" t="s">
        <v>15</v>
      </c>
      <c r="D62">
        <v>3</v>
      </c>
      <c r="E62" t="s">
        <v>13</v>
      </c>
      <c r="F62" t="s">
        <v>62</v>
      </c>
      <c r="G62" t="s">
        <v>56</v>
      </c>
      <c r="H62" t="s">
        <v>20</v>
      </c>
      <c r="I62" s="4">
        <v>45</v>
      </c>
      <c r="J62" t="s">
        <v>46</v>
      </c>
      <c r="K62" t="s">
        <v>125</v>
      </c>
    </row>
    <row r="63" spans="1:11" x14ac:dyDescent="0.3">
      <c r="A63" t="s">
        <v>153</v>
      </c>
      <c r="B63" s="3">
        <v>45748</v>
      </c>
      <c r="C63" t="s">
        <v>18</v>
      </c>
      <c r="D63">
        <v>4</v>
      </c>
      <c r="E63" t="s">
        <v>29</v>
      </c>
      <c r="F63" t="s">
        <v>73</v>
      </c>
      <c r="G63" t="s">
        <v>146</v>
      </c>
      <c r="H63" t="s">
        <v>11</v>
      </c>
      <c r="I63" s="4">
        <v>1391</v>
      </c>
      <c r="J63" t="s">
        <v>46</v>
      </c>
      <c r="K63" t="s">
        <v>154</v>
      </c>
    </row>
    <row r="64" spans="1:11" x14ac:dyDescent="0.3">
      <c r="A64" t="s">
        <v>155</v>
      </c>
      <c r="B64" s="3">
        <v>45751</v>
      </c>
      <c r="C64" t="s">
        <v>18</v>
      </c>
      <c r="D64">
        <v>4</v>
      </c>
      <c r="E64" t="s">
        <v>22</v>
      </c>
      <c r="F64" t="s">
        <v>76</v>
      </c>
      <c r="G64" t="s">
        <v>77</v>
      </c>
      <c r="H64" t="s">
        <v>20</v>
      </c>
      <c r="I64" s="4">
        <v>1173</v>
      </c>
      <c r="J64" t="s">
        <v>46</v>
      </c>
      <c r="K64" t="s">
        <v>154</v>
      </c>
    </row>
    <row r="65" spans="1:11" x14ac:dyDescent="0.3">
      <c r="A65" t="s">
        <v>156</v>
      </c>
      <c r="B65" s="3">
        <v>45755</v>
      </c>
      <c r="C65" t="s">
        <v>18</v>
      </c>
      <c r="D65">
        <v>4</v>
      </c>
      <c r="E65" t="s">
        <v>13</v>
      </c>
      <c r="F65" t="s">
        <v>157</v>
      </c>
      <c r="G65" t="s">
        <v>56</v>
      </c>
      <c r="H65" t="s">
        <v>17</v>
      </c>
      <c r="I65" s="4">
        <v>1389</v>
      </c>
      <c r="J65" t="s">
        <v>46</v>
      </c>
      <c r="K65" t="s">
        <v>154</v>
      </c>
    </row>
    <row r="66" spans="1:11" x14ac:dyDescent="0.3">
      <c r="A66" t="s">
        <v>158</v>
      </c>
      <c r="B66" s="3">
        <v>45756</v>
      </c>
      <c r="C66" t="s">
        <v>18</v>
      </c>
      <c r="D66">
        <v>4</v>
      </c>
      <c r="E66" t="s">
        <v>19</v>
      </c>
      <c r="F66" t="s">
        <v>59</v>
      </c>
      <c r="G66" t="s">
        <v>82</v>
      </c>
      <c r="H66" t="s">
        <v>20</v>
      </c>
      <c r="I66" s="4">
        <v>3975</v>
      </c>
      <c r="J66" t="s">
        <v>46</v>
      </c>
      <c r="K66" t="s">
        <v>154</v>
      </c>
    </row>
    <row r="67" spans="1:11" x14ac:dyDescent="0.3">
      <c r="A67" t="s">
        <v>159</v>
      </c>
      <c r="B67" s="3">
        <v>45756</v>
      </c>
      <c r="C67" t="s">
        <v>18</v>
      </c>
      <c r="D67">
        <v>4</v>
      </c>
      <c r="E67" t="s">
        <v>27</v>
      </c>
      <c r="F67" t="s">
        <v>97</v>
      </c>
      <c r="G67" t="s">
        <v>79</v>
      </c>
      <c r="H67" t="s">
        <v>14</v>
      </c>
      <c r="I67" s="4">
        <v>1652</v>
      </c>
      <c r="J67" t="s">
        <v>46</v>
      </c>
      <c r="K67" t="s">
        <v>154</v>
      </c>
    </row>
    <row r="68" spans="1:11" x14ac:dyDescent="0.3">
      <c r="A68" t="s">
        <v>160</v>
      </c>
      <c r="B68" s="3">
        <v>45759</v>
      </c>
      <c r="C68" t="s">
        <v>18</v>
      </c>
      <c r="D68">
        <v>4</v>
      </c>
      <c r="E68" t="s">
        <v>27</v>
      </c>
      <c r="F68" t="s">
        <v>49</v>
      </c>
      <c r="G68" t="s">
        <v>79</v>
      </c>
      <c r="H68" t="s">
        <v>17</v>
      </c>
      <c r="I68" s="4">
        <v>1939</v>
      </c>
      <c r="J68" t="s">
        <v>46</v>
      </c>
      <c r="K68" t="s">
        <v>154</v>
      </c>
    </row>
    <row r="69" spans="1:11" x14ac:dyDescent="0.3">
      <c r="A69" t="s">
        <v>161</v>
      </c>
      <c r="B69" s="3">
        <v>45762</v>
      </c>
      <c r="C69" t="s">
        <v>18</v>
      </c>
      <c r="D69">
        <v>4</v>
      </c>
      <c r="E69" t="s">
        <v>25</v>
      </c>
      <c r="F69" t="s">
        <v>103</v>
      </c>
      <c r="G69" t="s">
        <v>104</v>
      </c>
      <c r="H69" t="s">
        <v>14</v>
      </c>
      <c r="I69" s="4">
        <v>643</v>
      </c>
      <c r="J69" t="s">
        <v>46</v>
      </c>
      <c r="K69" t="s">
        <v>154</v>
      </c>
    </row>
    <row r="70" spans="1:11" x14ac:dyDescent="0.3">
      <c r="A70" t="s">
        <v>162</v>
      </c>
      <c r="B70" s="3">
        <v>45764</v>
      </c>
      <c r="C70" t="s">
        <v>18</v>
      </c>
      <c r="D70">
        <v>4</v>
      </c>
      <c r="E70" t="s">
        <v>19</v>
      </c>
      <c r="F70" t="s">
        <v>81</v>
      </c>
      <c r="G70" t="s">
        <v>82</v>
      </c>
      <c r="H70" t="s">
        <v>14</v>
      </c>
      <c r="I70" s="4">
        <v>965</v>
      </c>
      <c r="J70" t="s">
        <v>46</v>
      </c>
      <c r="K70" t="s">
        <v>154</v>
      </c>
    </row>
    <row r="71" spans="1:11" x14ac:dyDescent="0.3">
      <c r="A71" t="s">
        <v>163</v>
      </c>
      <c r="B71" s="3">
        <v>45765</v>
      </c>
      <c r="C71" t="s">
        <v>18</v>
      </c>
      <c r="D71">
        <v>4</v>
      </c>
      <c r="E71" t="s">
        <v>19</v>
      </c>
      <c r="F71" t="s">
        <v>59</v>
      </c>
      <c r="G71" t="s">
        <v>60</v>
      </c>
      <c r="H71" t="s">
        <v>23</v>
      </c>
      <c r="I71" s="4">
        <v>1142</v>
      </c>
      <c r="J71" t="s">
        <v>46</v>
      </c>
      <c r="K71" t="s">
        <v>154</v>
      </c>
    </row>
    <row r="72" spans="1:11" x14ac:dyDescent="0.3">
      <c r="A72" t="s">
        <v>164</v>
      </c>
      <c r="B72" s="3">
        <v>45766</v>
      </c>
      <c r="C72" t="s">
        <v>18</v>
      </c>
      <c r="D72">
        <v>4</v>
      </c>
      <c r="E72" t="s">
        <v>25</v>
      </c>
      <c r="F72" t="s">
        <v>65</v>
      </c>
      <c r="G72" t="s">
        <v>104</v>
      </c>
      <c r="H72" t="s">
        <v>23</v>
      </c>
      <c r="I72" s="4">
        <v>797</v>
      </c>
      <c r="J72" t="s">
        <v>46</v>
      </c>
      <c r="K72" t="s">
        <v>154</v>
      </c>
    </row>
    <row r="73" spans="1:11" x14ac:dyDescent="0.3">
      <c r="A73" t="s">
        <v>165</v>
      </c>
      <c r="B73" s="3">
        <v>45768</v>
      </c>
      <c r="C73" t="s">
        <v>18</v>
      </c>
      <c r="D73">
        <v>4</v>
      </c>
      <c r="E73" t="s">
        <v>25</v>
      </c>
      <c r="F73" t="s">
        <v>103</v>
      </c>
      <c r="G73" t="s">
        <v>104</v>
      </c>
      <c r="H73" t="s">
        <v>11</v>
      </c>
      <c r="I73" s="4">
        <v>289</v>
      </c>
      <c r="J73" t="s">
        <v>46</v>
      </c>
      <c r="K73" t="s">
        <v>154</v>
      </c>
    </row>
    <row r="74" spans="1:11" x14ac:dyDescent="0.3">
      <c r="A74" t="s">
        <v>166</v>
      </c>
      <c r="B74" s="3">
        <v>45769</v>
      </c>
      <c r="C74" t="s">
        <v>18</v>
      </c>
      <c r="D74">
        <v>4</v>
      </c>
      <c r="E74" t="s">
        <v>29</v>
      </c>
      <c r="F74" t="s">
        <v>167</v>
      </c>
      <c r="G74" t="s">
        <v>146</v>
      </c>
      <c r="H74" t="s">
        <v>17</v>
      </c>
      <c r="I74" s="4">
        <v>2196</v>
      </c>
      <c r="J74" t="s">
        <v>46</v>
      </c>
      <c r="K74" t="s">
        <v>154</v>
      </c>
    </row>
    <row r="75" spans="1:11" x14ac:dyDescent="0.3">
      <c r="A75" t="s">
        <v>168</v>
      </c>
      <c r="B75" s="3">
        <v>45772</v>
      </c>
      <c r="C75" t="s">
        <v>18</v>
      </c>
      <c r="D75">
        <v>4</v>
      </c>
      <c r="E75" t="s">
        <v>16</v>
      </c>
      <c r="F75" t="s">
        <v>151</v>
      </c>
      <c r="G75" t="s">
        <v>169</v>
      </c>
      <c r="H75" t="s">
        <v>11</v>
      </c>
      <c r="I75" s="4">
        <v>8000</v>
      </c>
      <c r="J75" t="s">
        <v>46</v>
      </c>
      <c r="K75" t="s">
        <v>154</v>
      </c>
    </row>
    <row r="76" spans="1:11" x14ac:dyDescent="0.3">
      <c r="A76" t="s">
        <v>170</v>
      </c>
      <c r="B76" s="3">
        <v>45775</v>
      </c>
      <c r="C76" t="s">
        <v>18</v>
      </c>
      <c r="D76">
        <v>4</v>
      </c>
      <c r="E76" t="s">
        <v>10</v>
      </c>
      <c r="F76" t="s">
        <v>84</v>
      </c>
      <c r="G76" t="s">
        <v>87</v>
      </c>
      <c r="H76" t="s">
        <v>14</v>
      </c>
      <c r="I76" s="4">
        <v>1260</v>
      </c>
      <c r="J76" t="s">
        <v>46</v>
      </c>
      <c r="K76" t="s">
        <v>154</v>
      </c>
    </row>
    <row r="77" spans="1:11" x14ac:dyDescent="0.3">
      <c r="A77" t="s">
        <v>171</v>
      </c>
      <c r="B77" s="3">
        <v>45778</v>
      </c>
      <c r="C77" t="s">
        <v>21</v>
      </c>
      <c r="D77">
        <v>5</v>
      </c>
      <c r="E77" t="s">
        <v>22</v>
      </c>
      <c r="F77" t="s">
        <v>127</v>
      </c>
      <c r="G77" t="s">
        <v>77</v>
      </c>
      <c r="H77" t="s">
        <v>11</v>
      </c>
      <c r="I77" s="4">
        <v>965</v>
      </c>
      <c r="J77" t="s">
        <v>46</v>
      </c>
      <c r="K77" t="s">
        <v>172</v>
      </c>
    </row>
    <row r="78" spans="1:11" x14ac:dyDescent="0.3">
      <c r="A78" t="s">
        <v>173</v>
      </c>
      <c r="B78" s="3">
        <v>45778</v>
      </c>
      <c r="C78" t="s">
        <v>21</v>
      </c>
      <c r="D78">
        <v>5</v>
      </c>
      <c r="E78" t="s">
        <v>16</v>
      </c>
      <c r="F78" t="s">
        <v>44</v>
      </c>
      <c r="G78" t="s">
        <v>45</v>
      </c>
      <c r="H78" t="s">
        <v>23</v>
      </c>
      <c r="I78" s="4">
        <v>1179</v>
      </c>
      <c r="J78" t="s">
        <v>46</v>
      </c>
      <c r="K78" t="s">
        <v>172</v>
      </c>
    </row>
    <row r="79" spans="1:11" x14ac:dyDescent="0.3">
      <c r="A79" t="s">
        <v>174</v>
      </c>
      <c r="B79" s="3">
        <v>45778</v>
      </c>
      <c r="C79" t="s">
        <v>21</v>
      </c>
      <c r="D79">
        <v>5</v>
      </c>
      <c r="E79" t="s">
        <v>22</v>
      </c>
      <c r="F79" t="s">
        <v>76</v>
      </c>
      <c r="G79" t="s">
        <v>134</v>
      </c>
      <c r="H79" t="s">
        <v>11</v>
      </c>
      <c r="I79" s="4">
        <v>1459</v>
      </c>
      <c r="J79" t="s">
        <v>46</v>
      </c>
      <c r="K79" t="s">
        <v>172</v>
      </c>
    </row>
    <row r="80" spans="1:11" x14ac:dyDescent="0.3">
      <c r="A80" t="s">
        <v>175</v>
      </c>
      <c r="B80" s="3">
        <v>45779</v>
      </c>
      <c r="C80" t="s">
        <v>21</v>
      </c>
      <c r="D80">
        <v>5</v>
      </c>
      <c r="E80" t="s">
        <v>16</v>
      </c>
      <c r="F80" t="s">
        <v>44</v>
      </c>
      <c r="G80" t="s">
        <v>169</v>
      </c>
      <c r="H80" t="s">
        <v>14</v>
      </c>
      <c r="I80" s="4">
        <v>1244</v>
      </c>
      <c r="J80" t="s">
        <v>46</v>
      </c>
      <c r="K80" t="s">
        <v>172</v>
      </c>
    </row>
    <row r="81" spans="1:11" x14ac:dyDescent="0.3">
      <c r="A81" t="s">
        <v>176</v>
      </c>
      <c r="B81" s="3">
        <v>45781</v>
      </c>
      <c r="C81" t="s">
        <v>21</v>
      </c>
      <c r="D81">
        <v>5</v>
      </c>
      <c r="E81" t="s">
        <v>29</v>
      </c>
      <c r="F81" t="s">
        <v>131</v>
      </c>
      <c r="G81" t="s">
        <v>74</v>
      </c>
      <c r="H81" t="s">
        <v>20</v>
      </c>
      <c r="I81" s="4">
        <v>1707</v>
      </c>
      <c r="J81" t="s">
        <v>46</v>
      </c>
      <c r="K81" t="s">
        <v>172</v>
      </c>
    </row>
    <row r="82" spans="1:11" x14ac:dyDescent="0.3">
      <c r="A82" t="s">
        <v>177</v>
      </c>
      <c r="B82" s="3">
        <v>45782</v>
      </c>
      <c r="C82" t="s">
        <v>21</v>
      </c>
      <c r="D82">
        <v>5</v>
      </c>
      <c r="E82" t="s">
        <v>16</v>
      </c>
      <c r="F82" t="s">
        <v>151</v>
      </c>
      <c r="G82" t="s">
        <v>169</v>
      </c>
      <c r="H82" t="s">
        <v>14</v>
      </c>
      <c r="I82" s="4">
        <v>8000</v>
      </c>
      <c r="J82" t="s">
        <v>46</v>
      </c>
      <c r="K82" t="s">
        <v>172</v>
      </c>
    </row>
    <row r="83" spans="1:11" x14ac:dyDescent="0.3">
      <c r="A83" t="s">
        <v>178</v>
      </c>
      <c r="B83" s="3">
        <v>45784</v>
      </c>
      <c r="C83" t="s">
        <v>21</v>
      </c>
      <c r="D83">
        <v>5</v>
      </c>
      <c r="E83" t="s">
        <v>10</v>
      </c>
      <c r="F83" t="s">
        <v>179</v>
      </c>
      <c r="G83" t="s">
        <v>180</v>
      </c>
      <c r="H83" t="s">
        <v>17</v>
      </c>
      <c r="I83" s="4">
        <v>938</v>
      </c>
      <c r="J83" t="s">
        <v>46</v>
      </c>
      <c r="K83" t="s">
        <v>172</v>
      </c>
    </row>
    <row r="84" spans="1:11" x14ac:dyDescent="0.3">
      <c r="A84" t="s">
        <v>181</v>
      </c>
      <c r="B84" s="3">
        <v>45786</v>
      </c>
      <c r="C84" t="s">
        <v>21</v>
      </c>
      <c r="D84">
        <v>5</v>
      </c>
      <c r="E84" t="s">
        <v>10</v>
      </c>
      <c r="F84" t="s">
        <v>179</v>
      </c>
      <c r="G84" t="s">
        <v>180</v>
      </c>
      <c r="H84" t="s">
        <v>17</v>
      </c>
      <c r="I84" s="4">
        <v>1476</v>
      </c>
      <c r="J84" t="s">
        <v>46</v>
      </c>
      <c r="K84" t="s">
        <v>172</v>
      </c>
    </row>
    <row r="85" spans="1:11" x14ac:dyDescent="0.3">
      <c r="A85" t="s">
        <v>182</v>
      </c>
      <c r="B85" s="3">
        <v>45786</v>
      </c>
      <c r="C85" t="s">
        <v>21</v>
      </c>
      <c r="D85">
        <v>5</v>
      </c>
      <c r="E85" t="s">
        <v>16</v>
      </c>
      <c r="F85" t="s">
        <v>151</v>
      </c>
      <c r="G85" t="s">
        <v>45</v>
      </c>
      <c r="H85" t="s">
        <v>20</v>
      </c>
      <c r="I85" s="4">
        <v>8000</v>
      </c>
      <c r="J85" t="s">
        <v>46</v>
      </c>
      <c r="K85" t="s">
        <v>172</v>
      </c>
    </row>
    <row r="86" spans="1:11" x14ac:dyDescent="0.3">
      <c r="A86" t="s">
        <v>183</v>
      </c>
      <c r="B86" s="3">
        <v>45786</v>
      </c>
      <c r="C86" t="s">
        <v>21</v>
      </c>
      <c r="D86">
        <v>5</v>
      </c>
      <c r="E86" t="s">
        <v>16</v>
      </c>
      <c r="F86" t="s">
        <v>151</v>
      </c>
      <c r="G86" t="s">
        <v>140</v>
      </c>
      <c r="H86" t="s">
        <v>11</v>
      </c>
      <c r="I86" s="4">
        <v>8000</v>
      </c>
      <c r="J86" t="s">
        <v>46</v>
      </c>
      <c r="K86" t="s">
        <v>172</v>
      </c>
    </row>
    <row r="87" spans="1:11" x14ac:dyDescent="0.3">
      <c r="A87" t="s">
        <v>184</v>
      </c>
      <c r="B87" s="3">
        <v>45788</v>
      </c>
      <c r="C87" t="s">
        <v>21</v>
      </c>
      <c r="D87">
        <v>5</v>
      </c>
      <c r="E87" t="s">
        <v>10</v>
      </c>
      <c r="F87" t="s">
        <v>185</v>
      </c>
      <c r="G87" t="s">
        <v>85</v>
      </c>
      <c r="H87" t="s">
        <v>11</v>
      </c>
      <c r="I87" s="4">
        <v>669</v>
      </c>
      <c r="J87" t="s">
        <v>46</v>
      </c>
      <c r="K87" t="s">
        <v>172</v>
      </c>
    </row>
    <row r="88" spans="1:11" x14ac:dyDescent="0.3">
      <c r="A88" t="s">
        <v>186</v>
      </c>
      <c r="B88" s="3">
        <v>45791</v>
      </c>
      <c r="C88" t="s">
        <v>21</v>
      </c>
      <c r="D88">
        <v>5</v>
      </c>
      <c r="E88" t="s">
        <v>27</v>
      </c>
      <c r="F88" t="s">
        <v>100</v>
      </c>
      <c r="G88" t="s">
        <v>187</v>
      </c>
      <c r="H88" t="s">
        <v>17</v>
      </c>
      <c r="I88" s="4">
        <v>966</v>
      </c>
      <c r="J88" t="s">
        <v>46</v>
      </c>
      <c r="K88" t="s">
        <v>172</v>
      </c>
    </row>
    <row r="89" spans="1:11" x14ac:dyDescent="0.3">
      <c r="A89" t="s">
        <v>188</v>
      </c>
      <c r="B89" s="3">
        <v>45792</v>
      </c>
      <c r="C89" t="s">
        <v>21</v>
      </c>
      <c r="D89">
        <v>5</v>
      </c>
      <c r="E89" t="s">
        <v>16</v>
      </c>
      <c r="F89" t="s">
        <v>151</v>
      </c>
      <c r="G89" t="s">
        <v>140</v>
      </c>
      <c r="H89" t="s">
        <v>14</v>
      </c>
      <c r="I89" s="4">
        <v>10000</v>
      </c>
      <c r="J89" t="s">
        <v>46</v>
      </c>
      <c r="K89" t="s">
        <v>172</v>
      </c>
    </row>
    <row r="90" spans="1:11" x14ac:dyDescent="0.3">
      <c r="A90" t="s">
        <v>189</v>
      </c>
      <c r="B90" s="3">
        <v>45793</v>
      </c>
      <c r="C90" t="s">
        <v>21</v>
      </c>
      <c r="D90">
        <v>5</v>
      </c>
      <c r="E90" t="s">
        <v>16</v>
      </c>
      <c r="F90" t="s">
        <v>95</v>
      </c>
      <c r="G90" t="s">
        <v>190</v>
      </c>
      <c r="H90" t="s">
        <v>14</v>
      </c>
      <c r="I90" s="4">
        <v>2054</v>
      </c>
      <c r="J90" t="s">
        <v>46</v>
      </c>
      <c r="K90" t="s">
        <v>172</v>
      </c>
    </row>
    <row r="91" spans="1:11" x14ac:dyDescent="0.3">
      <c r="A91" t="s">
        <v>191</v>
      </c>
      <c r="B91" s="3">
        <v>45793</v>
      </c>
      <c r="C91" t="s">
        <v>21</v>
      </c>
      <c r="D91">
        <v>5</v>
      </c>
      <c r="E91" t="s">
        <v>19</v>
      </c>
      <c r="F91" t="s">
        <v>81</v>
      </c>
      <c r="G91" t="s">
        <v>110</v>
      </c>
      <c r="H91" t="s">
        <v>14</v>
      </c>
      <c r="I91" s="4">
        <v>1240</v>
      </c>
      <c r="J91" t="s">
        <v>46</v>
      </c>
      <c r="K91" t="s">
        <v>172</v>
      </c>
    </row>
    <row r="92" spans="1:11" x14ac:dyDescent="0.3">
      <c r="A92" t="s">
        <v>192</v>
      </c>
      <c r="B92" s="3">
        <v>45793</v>
      </c>
      <c r="C92" t="s">
        <v>21</v>
      </c>
      <c r="D92">
        <v>5</v>
      </c>
      <c r="E92" t="s">
        <v>10</v>
      </c>
      <c r="F92" t="s">
        <v>92</v>
      </c>
      <c r="G92" t="s">
        <v>117</v>
      </c>
      <c r="H92" t="s">
        <v>23</v>
      </c>
      <c r="I92" s="4">
        <v>1599</v>
      </c>
      <c r="J92" t="s">
        <v>46</v>
      </c>
      <c r="K92" t="s">
        <v>172</v>
      </c>
    </row>
    <row r="93" spans="1:11" x14ac:dyDescent="0.3">
      <c r="A93" t="s">
        <v>193</v>
      </c>
      <c r="B93" s="3">
        <v>45793</v>
      </c>
      <c r="C93" t="s">
        <v>21</v>
      </c>
      <c r="D93">
        <v>5</v>
      </c>
      <c r="E93" t="s">
        <v>29</v>
      </c>
      <c r="F93" t="s">
        <v>167</v>
      </c>
      <c r="G93" t="s">
        <v>132</v>
      </c>
      <c r="H93" t="s">
        <v>23</v>
      </c>
      <c r="I93" s="4">
        <v>1116</v>
      </c>
      <c r="J93" t="s">
        <v>46</v>
      </c>
      <c r="K93" t="s">
        <v>172</v>
      </c>
    </row>
    <row r="94" spans="1:11" x14ac:dyDescent="0.3">
      <c r="A94" t="s">
        <v>194</v>
      </c>
      <c r="B94" s="3">
        <v>45793</v>
      </c>
      <c r="C94" t="s">
        <v>21</v>
      </c>
      <c r="D94">
        <v>5</v>
      </c>
      <c r="E94" t="s">
        <v>13</v>
      </c>
      <c r="F94" t="s">
        <v>157</v>
      </c>
      <c r="G94" t="s">
        <v>89</v>
      </c>
      <c r="H94" t="s">
        <v>17</v>
      </c>
      <c r="I94" s="4">
        <v>1560</v>
      </c>
      <c r="J94" t="s">
        <v>46</v>
      </c>
      <c r="K94" t="s">
        <v>172</v>
      </c>
    </row>
    <row r="95" spans="1:11" x14ac:dyDescent="0.3">
      <c r="A95" t="s">
        <v>195</v>
      </c>
      <c r="B95" s="3">
        <v>45794</v>
      </c>
      <c r="C95" t="s">
        <v>21</v>
      </c>
      <c r="D95">
        <v>5</v>
      </c>
      <c r="E95" t="s">
        <v>16</v>
      </c>
      <c r="F95" t="s">
        <v>95</v>
      </c>
      <c r="G95" t="s">
        <v>169</v>
      </c>
      <c r="H95" t="s">
        <v>11</v>
      </c>
      <c r="I95" s="4">
        <v>1147</v>
      </c>
      <c r="J95" t="s">
        <v>46</v>
      </c>
      <c r="K95" t="s">
        <v>172</v>
      </c>
    </row>
    <row r="96" spans="1:11" x14ac:dyDescent="0.3">
      <c r="A96" t="s">
        <v>196</v>
      </c>
      <c r="B96" s="3">
        <v>45797</v>
      </c>
      <c r="C96" t="s">
        <v>21</v>
      </c>
      <c r="D96">
        <v>5</v>
      </c>
      <c r="E96" t="s">
        <v>29</v>
      </c>
      <c r="F96" t="s">
        <v>167</v>
      </c>
      <c r="G96" t="s">
        <v>132</v>
      </c>
      <c r="H96" t="s">
        <v>11</v>
      </c>
      <c r="I96" s="4">
        <v>414</v>
      </c>
      <c r="J96" t="s">
        <v>46</v>
      </c>
      <c r="K96" t="s">
        <v>172</v>
      </c>
    </row>
    <row r="97" spans="1:11" x14ac:dyDescent="0.3">
      <c r="A97" t="s">
        <v>197</v>
      </c>
      <c r="B97" s="3">
        <v>45799</v>
      </c>
      <c r="C97" t="s">
        <v>21</v>
      </c>
      <c r="D97">
        <v>5</v>
      </c>
      <c r="E97" t="s">
        <v>22</v>
      </c>
      <c r="F97" t="s">
        <v>127</v>
      </c>
      <c r="G97" t="s">
        <v>53</v>
      </c>
      <c r="H97" t="s">
        <v>14</v>
      </c>
      <c r="I97" s="4">
        <v>945</v>
      </c>
      <c r="J97" t="s">
        <v>46</v>
      </c>
      <c r="K97" t="s">
        <v>172</v>
      </c>
    </row>
    <row r="98" spans="1:11" x14ac:dyDescent="0.3">
      <c r="A98" t="s">
        <v>198</v>
      </c>
      <c r="B98" s="3">
        <v>45799</v>
      </c>
      <c r="C98" t="s">
        <v>21</v>
      </c>
      <c r="D98">
        <v>5</v>
      </c>
      <c r="E98" t="s">
        <v>27</v>
      </c>
      <c r="F98" t="s">
        <v>100</v>
      </c>
      <c r="G98" t="s">
        <v>187</v>
      </c>
      <c r="H98" t="s">
        <v>11</v>
      </c>
      <c r="I98" s="4">
        <v>2179</v>
      </c>
      <c r="J98" t="s">
        <v>46</v>
      </c>
      <c r="K98" t="s">
        <v>172</v>
      </c>
    </row>
    <row r="99" spans="1:11" x14ac:dyDescent="0.3">
      <c r="A99" t="s">
        <v>199</v>
      </c>
      <c r="B99" s="3">
        <v>45802</v>
      </c>
      <c r="C99" t="s">
        <v>21</v>
      </c>
      <c r="D99">
        <v>5</v>
      </c>
      <c r="E99" t="s">
        <v>22</v>
      </c>
      <c r="F99" t="s">
        <v>52</v>
      </c>
      <c r="G99" t="s">
        <v>77</v>
      </c>
      <c r="H99" t="s">
        <v>20</v>
      </c>
      <c r="I99" s="4">
        <v>2155</v>
      </c>
      <c r="J99" t="s">
        <v>46</v>
      </c>
      <c r="K99" t="s">
        <v>172</v>
      </c>
    </row>
    <row r="100" spans="1:11" x14ac:dyDescent="0.3">
      <c r="A100" t="s">
        <v>200</v>
      </c>
      <c r="B100" s="3">
        <v>45802</v>
      </c>
      <c r="C100" t="s">
        <v>21</v>
      </c>
      <c r="D100">
        <v>5</v>
      </c>
      <c r="E100" t="s">
        <v>19</v>
      </c>
      <c r="F100" t="s">
        <v>59</v>
      </c>
      <c r="G100" t="s">
        <v>82</v>
      </c>
      <c r="H100" t="s">
        <v>17</v>
      </c>
      <c r="I100" s="4">
        <v>3108</v>
      </c>
      <c r="J100" t="s">
        <v>46</v>
      </c>
      <c r="K100" t="s">
        <v>172</v>
      </c>
    </row>
    <row r="101" spans="1:11" x14ac:dyDescent="0.3">
      <c r="A101" t="s">
        <v>201</v>
      </c>
      <c r="B101" s="3">
        <v>45804</v>
      </c>
      <c r="C101" t="s">
        <v>21</v>
      </c>
      <c r="D101">
        <v>5</v>
      </c>
      <c r="E101" t="s">
        <v>19</v>
      </c>
      <c r="F101" t="s">
        <v>81</v>
      </c>
      <c r="G101" t="s">
        <v>110</v>
      </c>
      <c r="H101" t="s">
        <v>17</v>
      </c>
      <c r="I101" s="4">
        <v>5051</v>
      </c>
      <c r="J101" t="s">
        <v>46</v>
      </c>
      <c r="K101" t="s">
        <v>172</v>
      </c>
    </row>
    <row r="102" spans="1:11" x14ac:dyDescent="0.3">
      <c r="A102" t="s">
        <v>202</v>
      </c>
      <c r="B102" s="3">
        <v>45806</v>
      </c>
      <c r="C102" t="s">
        <v>21</v>
      </c>
      <c r="D102">
        <v>5</v>
      </c>
      <c r="E102" t="s">
        <v>13</v>
      </c>
      <c r="F102" t="s">
        <v>62</v>
      </c>
      <c r="G102" t="s">
        <v>56</v>
      </c>
      <c r="H102" t="s">
        <v>17</v>
      </c>
      <c r="I102" s="4">
        <v>246</v>
      </c>
      <c r="J102" t="s">
        <v>46</v>
      </c>
      <c r="K102" t="s">
        <v>172</v>
      </c>
    </row>
    <row r="103" spans="1:11" x14ac:dyDescent="0.3">
      <c r="A103" t="s">
        <v>203</v>
      </c>
      <c r="B103" s="3">
        <v>45809</v>
      </c>
      <c r="C103" t="s">
        <v>24</v>
      </c>
      <c r="D103">
        <v>6</v>
      </c>
      <c r="E103" t="s">
        <v>22</v>
      </c>
      <c r="F103" t="s">
        <v>127</v>
      </c>
      <c r="G103" t="s">
        <v>53</v>
      </c>
      <c r="H103" t="s">
        <v>11</v>
      </c>
      <c r="I103" s="4">
        <v>1771</v>
      </c>
      <c r="J103" t="s">
        <v>46</v>
      </c>
      <c r="K103" t="s">
        <v>204</v>
      </c>
    </row>
    <row r="104" spans="1:11" x14ac:dyDescent="0.3">
      <c r="A104" t="s">
        <v>205</v>
      </c>
      <c r="B104" s="3">
        <v>45810</v>
      </c>
      <c r="C104" t="s">
        <v>24</v>
      </c>
      <c r="D104">
        <v>6</v>
      </c>
      <c r="E104" t="s">
        <v>27</v>
      </c>
      <c r="F104" t="s">
        <v>100</v>
      </c>
      <c r="G104" t="s">
        <v>79</v>
      </c>
      <c r="H104" t="s">
        <v>23</v>
      </c>
      <c r="I104" s="4">
        <v>2304</v>
      </c>
      <c r="J104" t="s">
        <v>46</v>
      </c>
      <c r="K104" t="s">
        <v>204</v>
      </c>
    </row>
    <row r="105" spans="1:11" x14ac:dyDescent="0.3">
      <c r="A105" t="s">
        <v>206</v>
      </c>
      <c r="B105" s="3">
        <v>45814</v>
      </c>
      <c r="C105" t="s">
        <v>24</v>
      </c>
      <c r="D105">
        <v>6</v>
      </c>
      <c r="E105" t="s">
        <v>25</v>
      </c>
      <c r="F105" t="s">
        <v>65</v>
      </c>
      <c r="G105" t="s">
        <v>207</v>
      </c>
      <c r="H105" t="s">
        <v>17</v>
      </c>
      <c r="I105" s="4">
        <v>1233</v>
      </c>
      <c r="J105" t="s">
        <v>46</v>
      </c>
      <c r="K105" t="s">
        <v>204</v>
      </c>
    </row>
    <row r="106" spans="1:11" x14ac:dyDescent="0.3">
      <c r="A106" t="s">
        <v>208</v>
      </c>
      <c r="B106" s="3">
        <v>45814</v>
      </c>
      <c r="C106" t="s">
        <v>24</v>
      </c>
      <c r="D106">
        <v>6</v>
      </c>
      <c r="E106" t="s">
        <v>22</v>
      </c>
      <c r="F106" t="s">
        <v>127</v>
      </c>
      <c r="G106" t="s">
        <v>134</v>
      </c>
      <c r="H106" t="s">
        <v>14</v>
      </c>
      <c r="I106" s="4">
        <v>644</v>
      </c>
      <c r="J106" t="s">
        <v>46</v>
      </c>
      <c r="K106" t="s">
        <v>204</v>
      </c>
    </row>
    <row r="107" spans="1:11" x14ac:dyDescent="0.3">
      <c r="A107" t="s">
        <v>209</v>
      </c>
      <c r="B107" s="3">
        <v>45817</v>
      </c>
      <c r="C107" t="s">
        <v>24</v>
      </c>
      <c r="D107">
        <v>6</v>
      </c>
      <c r="E107" t="s">
        <v>25</v>
      </c>
      <c r="F107" t="s">
        <v>103</v>
      </c>
      <c r="G107" t="s">
        <v>207</v>
      </c>
      <c r="H107" t="s">
        <v>14</v>
      </c>
      <c r="I107" s="4">
        <v>1283</v>
      </c>
      <c r="J107" t="s">
        <v>46</v>
      </c>
      <c r="K107" t="s">
        <v>204</v>
      </c>
    </row>
    <row r="108" spans="1:11" x14ac:dyDescent="0.3">
      <c r="A108" t="s">
        <v>210</v>
      </c>
      <c r="B108" s="3">
        <v>45818</v>
      </c>
      <c r="C108" t="s">
        <v>24</v>
      </c>
      <c r="D108">
        <v>6</v>
      </c>
      <c r="E108" t="s">
        <v>13</v>
      </c>
      <c r="F108" t="s">
        <v>55</v>
      </c>
      <c r="G108" t="s">
        <v>70</v>
      </c>
      <c r="H108" t="s">
        <v>20</v>
      </c>
      <c r="I108" s="4">
        <v>1078</v>
      </c>
      <c r="J108" t="s">
        <v>46</v>
      </c>
      <c r="K108" t="s">
        <v>204</v>
      </c>
    </row>
    <row r="109" spans="1:11" x14ac:dyDescent="0.3">
      <c r="A109" t="s">
        <v>211</v>
      </c>
      <c r="B109" s="3">
        <v>45818</v>
      </c>
      <c r="C109" t="s">
        <v>24</v>
      </c>
      <c r="D109">
        <v>6</v>
      </c>
      <c r="E109" t="s">
        <v>27</v>
      </c>
      <c r="F109" t="s">
        <v>100</v>
      </c>
      <c r="G109" t="s">
        <v>187</v>
      </c>
      <c r="H109" t="s">
        <v>17</v>
      </c>
      <c r="I109" s="4">
        <v>2824</v>
      </c>
      <c r="J109" t="s">
        <v>46</v>
      </c>
      <c r="K109" t="s">
        <v>204</v>
      </c>
    </row>
    <row r="110" spans="1:11" x14ac:dyDescent="0.3">
      <c r="A110" t="s">
        <v>212</v>
      </c>
      <c r="B110" s="3">
        <v>45819</v>
      </c>
      <c r="C110" t="s">
        <v>24</v>
      </c>
      <c r="D110">
        <v>6</v>
      </c>
      <c r="E110" t="s">
        <v>13</v>
      </c>
      <c r="F110" t="s">
        <v>62</v>
      </c>
      <c r="G110" t="s">
        <v>89</v>
      </c>
      <c r="H110" t="s">
        <v>20</v>
      </c>
      <c r="I110" s="4">
        <v>432</v>
      </c>
      <c r="J110" t="s">
        <v>46</v>
      </c>
      <c r="K110" t="s">
        <v>204</v>
      </c>
    </row>
    <row r="111" spans="1:11" x14ac:dyDescent="0.3">
      <c r="A111" t="s">
        <v>213</v>
      </c>
      <c r="B111" s="3">
        <v>45824</v>
      </c>
      <c r="C111" t="s">
        <v>24</v>
      </c>
      <c r="D111">
        <v>6</v>
      </c>
      <c r="E111" t="s">
        <v>10</v>
      </c>
      <c r="F111" t="s">
        <v>84</v>
      </c>
      <c r="G111" t="s">
        <v>180</v>
      </c>
      <c r="H111" t="s">
        <v>20</v>
      </c>
      <c r="I111" s="4">
        <v>814</v>
      </c>
      <c r="J111" t="s">
        <v>46</v>
      </c>
      <c r="K111" t="s">
        <v>204</v>
      </c>
    </row>
    <row r="112" spans="1:11" x14ac:dyDescent="0.3">
      <c r="A112" t="s">
        <v>214</v>
      </c>
      <c r="B112" s="3">
        <v>45825</v>
      </c>
      <c r="C112" t="s">
        <v>24</v>
      </c>
      <c r="D112">
        <v>6</v>
      </c>
      <c r="E112" t="s">
        <v>27</v>
      </c>
      <c r="F112" t="s">
        <v>49</v>
      </c>
      <c r="G112" t="s">
        <v>50</v>
      </c>
      <c r="H112" t="s">
        <v>23</v>
      </c>
      <c r="I112" s="4">
        <v>922</v>
      </c>
      <c r="J112" t="s">
        <v>46</v>
      </c>
      <c r="K112" t="s">
        <v>204</v>
      </c>
    </row>
    <row r="113" spans="1:11" x14ac:dyDescent="0.3">
      <c r="A113" t="s">
        <v>215</v>
      </c>
      <c r="B113" s="3">
        <v>45825</v>
      </c>
      <c r="C113" t="s">
        <v>24</v>
      </c>
      <c r="D113">
        <v>6</v>
      </c>
      <c r="E113" t="s">
        <v>27</v>
      </c>
      <c r="F113" t="s">
        <v>97</v>
      </c>
      <c r="G113" t="s">
        <v>79</v>
      </c>
      <c r="H113" t="s">
        <v>14</v>
      </c>
      <c r="I113" s="4">
        <v>1311</v>
      </c>
      <c r="J113" t="s">
        <v>46</v>
      </c>
      <c r="K113" t="s">
        <v>204</v>
      </c>
    </row>
    <row r="114" spans="1:11" x14ac:dyDescent="0.3">
      <c r="A114" t="s">
        <v>216</v>
      </c>
      <c r="B114" s="3">
        <v>45825</v>
      </c>
      <c r="C114" t="s">
        <v>24</v>
      </c>
      <c r="D114">
        <v>6</v>
      </c>
      <c r="E114" t="s">
        <v>19</v>
      </c>
      <c r="F114" t="s">
        <v>59</v>
      </c>
      <c r="G114" t="s">
        <v>110</v>
      </c>
      <c r="H114" t="s">
        <v>20</v>
      </c>
      <c r="I114" s="4">
        <v>817</v>
      </c>
      <c r="J114" t="s">
        <v>46</v>
      </c>
      <c r="K114" t="s">
        <v>204</v>
      </c>
    </row>
    <row r="115" spans="1:11" x14ac:dyDescent="0.3">
      <c r="A115" t="s">
        <v>217</v>
      </c>
      <c r="B115" s="3">
        <v>45828</v>
      </c>
      <c r="C115" t="s">
        <v>24</v>
      </c>
      <c r="D115">
        <v>6</v>
      </c>
      <c r="E115" t="s">
        <v>19</v>
      </c>
      <c r="F115" t="s">
        <v>109</v>
      </c>
      <c r="G115" t="s">
        <v>82</v>
      </c>
      <c r="H115" t="s">
        <v>11</v>
      </c>
      <c r="I115" s="4">
        <v>4925</v>
      </c>
      <c r="J115" t="s">
        <v>46</v>
      </c>
      <c r="K115" t="s">
        <v>204</v>
      </c>
    </row>
    <row r="116" spans="1:11" x14ac:dyDescent="0.3">
      <c r="A116" t="s">
        <v>218</v>
      </c>
      <c r="B116" s="3">
        <v>45828</v>
      </c>
      <c r="C116" t="s">
        <v>24</v>
      </c>
      <c r="D116">
        <v>6</v>
      </c>
      <c r="E116" t="s">
        <v>25</v>
      </c>
      <c r="F116" t="s">
        <v>68</v>
      </c>
      <c r="G116" t="s">
        <v>66</v>
      </c>
      <c r="H116" t="s">
        <v>17</v>
      </c>
      <c r="I116" s="4">
        <v>314</v>
      </c>
      <c r="J116" t="s">
        <v>46</v>
      </c>
      <c r="K116" t="s">
        <v>204</v>
      </c>
    </row>
    <row r="117" spans="1:11" x14ac:dyDescent="0.3">
      <c r="A117" t="s">
        <v>219</v>
      </c>
      <c r="B117" s="3">
        <v>45830</v>
      </c>
      <c r="C117" t="s">
        <v>24</v>
      </c>
      <c r="D117">
        <v>6</v>
      </c>
      <c r="E117" t="s">
        <v>27</v>
      </c>
      <c r="F117" t="s">
        <v>100</v>
      </c>
      <c r="G117" t="s">
        <v>187</v>
      </c>
      <c r="H117" t="s">
        <v>11</v>
      </c>
      <c r="I117" s="4">
        <v>1826</v>
      </c>
      <c r="J117" t="s">
        <v>46</v>
      </c>
      <c r="K117" t="s">
        <v>204</v>
      </c>
    </row>
    <row r="118" spans="1:11" x14ac:dyDescent="0.3">
      <c r="A118" t="s">
        <v>220</v>
      </c>
      <c r="B118" s="3">
        <v>45830</v>
      </c>
      <c r="C118" t="s">
        <v>24</v>
      </c>
      <c r="D118">
        <v>6</v>
      </c>
      <c r="E118" t="s">
        <v>10</v>
      </c>
      <c r="F118" t="s">
        <v>185</v>
      </c>
      <c r="G118" t="s">
        <v>85</v>
      </c>
      <c r="H118" t="s">
        <v>20</v>
      </c>
      <c r="I118" s="4">
        <v>745</v>
      </c>
      <c r="J118" t="s">
        <v>46</v>
      </c>
      <c r="K118" t="s">
        <v>204</v>
      </c>
    </row>
    <row r="119" spans="1:11" x14ac:dyDescent="0.3">
      <c r="A119" t="s">
        <v>221</v>
      </c>
      <c r="B119" s="3">
        <v>45831</v>
      </c>
      <c r="C119" t="s">
        <v>24</v>
      </c>
      <c r="D119">
        <v>6</v>
      </c>
      <c r="E119" t="s">
        <v>10</v>
      </c>
      <c r="F119" t="s">
        <v>92</v>
      </c>
      <c r="G119" t="s">
        <v>85</v>
      </c>
      <c r="H119" t="s">
        <v>11</v>
      </c>
      <c r="I119" s="4">
        <v>1285</v>
      </c>
      <c r="J119" t="s">
        <v>46</v>
      </c>
      <c r="K119" t="s">
        <v>204</v>
      </c>
    </row>
    <row r="120" spans="1:11" x14ac:dyDescent="0.3">
      <c r="A120" t="s">
        <v>222</v>
      </c>
      <c r="B120" s="3">
        <v>45831</v>
      </c>
      <c r="C120" t="s">
        <v>24</v>
      </c>
      <c r="D120">
        <v>6</v>
      </c>
      <c r="E120" t="s">
        <v>13</v>
      </c>
      <c r="F120" t="s">
        <v>123</v>
      </c>
      <c r="G120" t="s">
        <v>89</v>
      </c>
      <c r="H120" t="s">
        <v>14</v>
      </c>
      <c r="I120" s="4">
        <v>194</v>
      </c>
      <c r="J120" t="s">
        <v>46</v>
      </c>
      <c r="K120" t="s">
        <v>204</v>
      </c>
    </row>
    <row r="121" spans="1:11" x14ac:dyDescent="0.3">
      <c r="A121" t="s">
        <v>223</v>
      </c>
      <c r="B121" s="3">
        <v>45832</v>
      </c>
      <c r="C121" t="s">
        <v>24</v>
      </c>
      <c r="D121">
        <v>6</v>
      </c>
      <c r="E121" t="s">
        <v>16</v>
      </c>
      <c r="F121" t="s">
        <v>151</v>
      </c>
      <c r="G121" t="s">
        <v>169</v>
      </c>
      <c r="H121" t="s">
        <v>11</v>
      </c>
      <c r="I121" s="4">
        <v>10000</v>
      </c>
      <c r="J121" t="s">
        <v>46</v>
      </c>
      <c r="K121" t="s">
        <v>204</v>
      </c>
    </row>
    <row r="122" spans="1:11" x14ac:dyDescent="0.3">
      <c r="A122" t="s">
        <v>224</v>
      </c>
      <c r="B122" s="3">
        <v>45837</v>
      </c>
      <c r="C122" t="s">
        <v>24</v>
      </c>
      <c r="D122">
        <v>6</v>
      </c>
      <c r="E122" t="s">
        <v>22</v>
      </c>
      <c r="F122" t="s">
        <v>127</v>
      </c>
      <c r="G122" t="s">
        <v>77</v>
      </c>
      <c r="H122" t="s">
        <v>14</v>
      </c>
      <c r="I122" s="4">
        <v>1063</v>
      </c>
      <c r="J122" t="s">
        <v>46</v>
      </c>
      <c r="K122" t="s">
        <v>204</v>
      </c>
    </row>
    <row r="123" spans="1:11" x14ac:dyDescent="0.3">
      <c r="A123" t="s">
        <v>225</v>
      </c>
      <c r="B123" s="3">
        <v>45841</v>
      </c>
      <c r="C123" t="s">
        <v>26</v>
      </c>
      <c r="D123">
        <v>7</v>
      </c>
      <c r="E123" t="s">
        <v>25</v>
      </c>
      <c r="F123" t="s">
        <v>68</v>
      </c>
      <c r="G123" t="s">
        <v>66</v>
      </c>
      <c r="H123" t="s">
        <v>20</v>
      </c>
      <c r="I123" s="4">
        <v>641</v>
      </c>
      <c r="J123" t="s">
        <v>46</v>
      </c>
      <c r="K123" t="s">
        <v>226</v>
      </c>
    </row>
    <row r="124" spans="1:11" x14ac:dyDescent="0.3">
      <c r="A124" t="s">
        <v>227</v>
      </c>
      <c r="B124" s="3">
        <v>45841</v>
      </c>
      <c r="C124" t="s">
        <v>26</v>
      </c>
      <c r="D124">
        <v>7</v>
      </c>
      <c r="E124" t="s">
        <v>19</v>
      </c>
      <c r="F124" t="s">
        <v>59</v>
      </c>
      <c r="G124" t="s">
        <v>82</v>
      </c>
      <c r="H124" t="s">
        <v>14</v>
      </c>
      <c r="I124" s="4">
        <v>2952</v>
      </c>
      <c r="J124" t="s">
        <v>46</v>
      </c>
      <c r="K124" t="s">
        <v>226</v>
      </c>
    </row>
    <row r="125" spans="1:11" x14ac:dyDescent="0.3">
      <c r="A125" t="s">
        <v>228</v>
      </c>
      <c r="B125" s="3">
        <v>45842</v>
      </c>
      <c r="C125" t="s">
        <v>26</v>
      </c>
      <c r="D125">
        <v>7</v>
      </c>
      <c r="E125" t="s">
        <v>16</v>
      </c>
      <c r="F125" t="s">
        <v>95</v>
      </c>
      <c r="G125" t="s">
        <v>140</v>
      </c>
      <c r="H125" t="s">
        <v>17</v>
      </c>
      <c r="I125" s="4">
        <v>278</v>
      </c>
      <c r="J125" t="s">
        <v>46</v>
      </c>
      <c r="K125" t="s">
        <v>226</v>
      </c>
    </row>
    <row r="126" spans="1:11" x14ac:dyDescent="0.3">
      <c r="A126" t="s">
        <v>229</v>
      </c>
      <c r="B126" s="3">
        <v>45843</v>
      </c>
      <c r="C126" t="s">
        <v>26</v>
      </c>
      <c r="D126">
        <v>7</v>
      </c>
      <c r="E126" t="s">
        <v>19</v>
      </c>
      <c r="F126" t="s">
        <v>109</v>
      </c>
      <c r="G126" t="s">
        <v>60</v>
      </c>
      <c r="H126" t="s">
        <v>11</v>
      </c>
      <c r="I126" s="4">
        <v>4474</v>
      </c>
      <c r="J126" t="s">
        <v>46</v>
      </c>
      <c r="K126" t="s">
        <v>226</v>
      </c>
    </row>
    <row r="127" spans="1:11" x14ac:dyDescent="0.3">
      <c r="A127" t="s">
        <v>230</v>
      </c>
      <c r="B127" s="3">
        <v>45843</v>
      </c>
      <c r="C127" t="s">
        <v>26</v>
      </c>
      <c r="D127">
        <v>7</v>
      </c>
      <c r="E127" t="s">
        <v>19</v>
      </c>
      <c r="F127" t="s">
        <v>59</v>
      </c>
      <c r="G127" t="s">
        <v>82</v>
      </c>
      <c r="H127" t="s">
        <v>14</v>
      </c>
      <c r="I127" s="4">
        <v>869</v>
      </c>
      <c r="J127" t="s">
        <v>46</v>
      </c>
      <c r="K127" t="s">
        <v>226</v>
      </c>
    </row>
    <row r="128" spans="1:11" x14ac:dyDescent="0.3">
      <c r="A128" t="s">
        <v>231</v>
      </c>
      <c r="B128" s="3">
        <v>45844</v>
      </c>
      <c r="C128" t="s">
        <v>26</v>
      </c>
      <c r="D128">
        <v>7</v>
      </c>
      <c r="E128" t="s">
        <v>27</v>
      </c>
      <c r="F128" t="s">
        <v>49</v>
      </c>
      <c r="G128" t="s">
        <v>187</v>
      </c>
      <c r="H128" t="s">
        <v>23</v>
      </c>
      <c r="I128" s="4">
        <v>2820</v>
      </c>
      <c r="J128" t="s">
        <v>46</v>
      </c>
      <c r="K128" t="s">
        <v>226</v>
      </c>
    </row>
    <row r="129" spans="1:11" x14ac:dyDescent="0.3">
      <c r="A129" t="s">
        <v>232</v>
      </c>
      <c r="B129" s="3">
        <v>45845</v>
      </c>
      <c r="C129" t="s">
        <v>26</v>
      </c>
      <c r="D129">
        <v>7</v>
      </c>
      <c r="E129" t="s">
        <v>22</v>
      </c>
      <c r="F129" t="s">
        <v>127</v>
      </c>
      <c r="G129" t="s">
        <v>53</v>
      </c>
      <c r="H129" t="s">
        <v>17</v>
      </c>
      <c r="I129" s="4">
        <v>1202</v>
      </c>
      <c r="J129" t="s">
        <v>46</v>
      </c>
      <c r="K129" t="s">
        <v>226</v>
      </c>
    </row>
    <row r="130" spans="1:11" x14ac:dyDescent="0.3">
      <c r="A130" t="s">
        <v>233</v>
      </c>
      <c r="B130" s="3">
        <v>45847</v>
      </c>
      <c r="C130" t="s">
        <v>26</v>
      </c>
      <c r="D130">
        <v>7</v>
      </c>
      <c r="E130" t="s">
        <v>22</v>
      </c>
      <c r="F130" t="s">
        <v>127</v>
      </c>
      <c r="G130" t="s">
        <v>134</v>
      </c>
      <c r="H130" t="s">
        <v>17</v>
      </c>
      <c r="I130" s="4">
        <v>1944</v>
      </c>
      <c r="J130" t="s">
        <v>46</v>
      </c>
      <c r="K130" t="s">
        <v>226</v>
      </c>
    </row>
    <row r="131" spans="1:11" x14ac:dyDescent="0.3">
      <c r="A131" t="s">
        <v>234</v>
      </c>
      <c r="B131" s="3">
        <v>45849</v>
      </c>
      <c r="C131" t="s">
        <v>26</v>
      </c>
      <c r="D131">
        <v>7</v>
      </c>
      <c r="E131" t="s">
        <v>16</v>
      </c>
      <c r="F131" t="s">
        <v>151</v>
      </c>
      <c r="G131" t="s">
        <v>169</v>
      </c>
      <c r="H131" t="s">
        <v>11</v>
      </c>
      <c r="I131" s="4">
        <v>10000</v>
      </c>
      <c r="J131" t="s">
        <v>46</v>
      </c>
      <c r="K131" t="s">
        <v>226</v>
      </c>
    </row>
    <row r="132" spans="1:11" x14ac:dyDescent="0.3">
      <c r="A132" t="s">
        <v>235</v>
      </c>
      <c r="B132" s="3">
        <v>45851</v>
      </c>
      <c r="C132" t="s">
        <v>26</v>
      </c>
      <c r="D132">
        <v>7</v>
      </c>
      <c r="E132" t="s">
        <v>29</v>
      </c>
      <c r="F132" t="s">
        <v>167</v>
      </c>
      <c r="G132" t="s">
        <v>146</v>
      </c>
      <c r="H132" t="s">
        <v>14</v>
      </c>
      <c r="I132" s="4">
        <v>2030</v>
      </c>
      <c r="J132" t="s">
        <v>46</v>
      </c>
      <c r="K132" t="s">
        <v>226</v>
      </c>
    </row>
    <row r="133" spans="1:11" x14ac:dyDescent="0.3">
      <c r="A133" t="s">
        <v>236</v>
      </c>
      <c r="B133" s="3">
        <v>45852</v>
      </c>
      <c r="C133" t="s">
        <v>26</v>
      </c>
      <c r="D133">
        <v>7</v>
      </c>
      <c r="E133" t="s">
        <v>25</v>
      </c>
      <c r="F133" t="s">
        <v>68</v>
      </c>
      <c r="G133" t="s">
        <v>104</v>
      </c>
      <c r="H133" t="s">
        <v>23</v>
      </c>
      <c r="I133" s="4">
        <v>1571</v>
      </c>
      <c r="J133" t="s">
        <v>46</v>
      </c>
      <c r="K133" t="s">
        <v>226</v>
      </c>
    </row>
    <row r="134" spans="1:11" x14ac:dyDescent="0.3">
      <c r="A134" t="s">
        <v>237</v>
      </c>
      <c r="B134" s="3">
        <v>45853</v>
      </c>
      <c r="C134" t="s">
        <v>26</v>
      </c>
      <c r="D134">
        <v>7</v>
      </c>
      <c r="E134" t="s">
        <v>10</v>
      </c>
      <c r="F134" t="s">
        <v>185</v>
      </c>
      <c r="G134" t="s">
        <v>85</v>
      </c>
      <c r="H134" t="s">
        <v>20</v>
      </c>
      <c r="I134" s="4">
        <v>535</v>
      </c>
      <c r="J134" t="s">
        <v>46</v>
      </c>
      <c r="K134" t="s">
        <v>226</v>
      </c>
    </row>
    <row r="135" spans="1:11" x14ac:dyDescent="0.3">
      <c r="A135" t="s">
        <v>238</v>
      </c>
      <c r="B135" s="3">
        <v>45853</v>
      </c>
      <c r="C135" t="s">
        <v>26</v>
      </c>
      <c r="D135">
        <v>7</v>
      </c>
      <c r="E135" t="s">
        <v>22</v>
      </c>
      <c r="F135" t="s">
        <v>76</v>
      </c>
      <c r="G135" t="s">
        <v>134</v>
      </c>
      <c r="H135" t="s">
        <v>20</v>
      </c>
      <c r="I135" s="4">
        <v>2220</v>
      </c>
      <c r="J135" t="s">
        <v>46</v>
      </c>
      <c r="K135" t="s">
        <v>226</v>
      </c>
    </row>
    <row r="136" spans="1:11" x14ac:dyDescent="0.3">
      <c r="A136" t="s">
        <v>239</v>
      </c>
      <c r="B136" s="3">
        <v>45861</v>
      </c>
      <c r="C136" t="s">
        <v>26</v>
      </c>
      <c r="D136">
        <v>7</v>
      </c>
      <c r="E136" t="s">
        <v>22</v>
      </c>
      <c r="F136" t="s">
        <v>127</v>
      </c>
      <c r="G136" t="s">
        <v>53</v>
      </c>
      <c r="H136" t="s">
        <v>11</v>
      </c>
      <c r="I136" s="4">
        <v>650</v>
      </c>
      <c r="J136" t="s">
        <v>46</v>
      </c>
      <c r="K136" t="s">
        <v>226</v>
      </c>
    </row>
    <row r="137" spans="1:11" x14ac:dyDescent="0.3">
      <c r="A137" t="s">
        <v>240</v>
      </c>
      <c r="B137" s="3">
        <v>45862</v>
      </c>
      <c r="C137" t="s">
        <v>26</v>
      </c>
      <c r="D137">
        <v>7</v>
      </c>
      <c r="E137" t="s">
        <v>25</v>
      </c>
      <c r="F137" t="s">
        <v>65</v>
      </c>
      <c r="G137" t="s">
        <v>104</v>
      </c>
      <c r="H137" t="s">
        <v>17</v>
      </c>
      <c r="I137" s="4">
        <v>242</v>
      </c>
      <c r="J137" t="s">
        <v>46</v>
      </c>
      <c r="K137" t="s">
        <v>226</v>
      </c>
    </row>
    <row r="138" spans="1:11" x14ac:dyDescent="0.3">
      <c r="A138" t="s">
        <v>241</v>
      </c>
      <c r="B138" s="3">
        <v>45863</v>
      </c>
      <c r="C138" t="s">
        <v>26</v>
      </c>
      <c r="D138">
        <v>7</v>
      </c>
      <c r="E138" t="s">
        <v>27</v>
      </c>
      <c r="F138" t="s">
        <v>97</v>
      </c>
      <c r="G138" t="s">
        <v>187</v>
      </c>
      <c r="H138" t="s">
        <v>20</v>
      </c>
      <c r="I138" s="4">
        <v>542</v>
      </c>
      <c r="J138" t="s">
        <v>46</v>
      </c>
      <c r="K138" t="s">
        <v>226</v>
      </c>
    </row>
    <row r="139" spans="1:11" x14ac:dyDescent="0.3">
      <c r="A139" t="s">
        <v>242</v>
      </c>
      <c r="B139" s="3">
        <v>45863</v>
      </c>
      <c r="C139" t="s">
        <v>26</v>
      </c>
      <c r="D139">
        <v>7</v>
      </c>
      <c r="E139" t="s">
        <v>10</v>
      </c>
      <c r="F139" t="s">
        <v>92</v>
      </c>
      <c r="G139" t="s">
        <v>87</v>
      </c>
      <c r="H139" t="s">
        <v>20</v>
      </c>
      <c r="I139" s="4">
        <v>856</v>
      </c>
      <c r="J139" t="s">
        <v>46</v>
      </c>
      <c r="K139" t="s">
        <v>226</v>
      </c>
    </row>
    <row r="140" spans="1:11" x14ac:dyDescent="0.3">
      <c r="A140" t="s">
        <v>243</v>
      </c>
      <c r="B140" s="3">
        <v>45866</v>
      </c>
      <c r="C140" t="s">
        <v>26</v>
      </c>
      <c r="D140">
        <v>7</v>
      </c>
      <c r="E140" t="s">
        <v>16</v>
      </c>
      <c r="F140" t="s">
        <v>139</v>
      </c>
      <c r="G140" t="s">
        <v>140</v>
      </c>
      <c r="H140" t="s">
        <v>14</v>
      </c>
      <c r="I140" s="4">
        <v>2020</v>
      </c>
      <c r="J140" t="s">
        <v>46</v>
      </c>
      <c r="K140" t="s">
        <v>226</v>
      </c>
    </row>
    <row r="141" spans="1:11" x14ac:dyDescent="0.3">
      <c r="A141" t="s">
        <v>244</v>
      </c>
      <c r="B141" s="3">
        <v>45868</v>
      </c>
      <c r="C141" t="s">
        <v>26</v>
      </c>
      <c r="D141">
        <v>7</v>
      </c>
      <c r="E141" t="s">
        <v>29</v>
      </c>
      <c r="F141" t="s">
        <v>167</v>
      </c>
      <c r="G141" t="s">
        <v>74</v>
      </c>
      <c r="H141" t="s">
        <v>23</v>
      </c>
      <c r="I141" s="4">
        <v>1606</v>
      </c>
      <c r="J141" t="s">
        <v>46</v>
      </c>
      <c r="K141" t="s">
        <v>226</v>
      </c>
    </row>
    <row r="142" spans="1:11" x14ac:dyDescent="0.3">
      <c r="A142" t="s">
        <v>245</v>
      </c>
      <c r="B142" s="3">
        <v>45869</v>
      </c>
      <c r="C142" t="s">
        <v>26</v>
      </c>
      <c r="D142">
        <v>7</v>
      </c>
      <c r="E142" t="s">
        <v>10</v>
      </c>
      <c r="F142" t="s">
        <v>92</v>
      </c>
      <c r="G142" t="s">
        <v>180</v>
      </c>
      <c r="H142" t="s">
        <v>20</v>
      </c>
      <c r="I142" s="4">
        <v>1588</v>
      </c>
      <c r="J142" t="s">
        <v>46</v>
      </c>
      <c r="K142" t="s">
        <v>226</v>
      </c>
    </row>
    <row r="143" spans="1:11" x14ac:dyDescent="0.3">
      <c r="A143" t="s">
        <v>246</v>
      </c>
      <c r="B143" s="3">
        <v>45869</v>
      </c>
      <c r="C143" t="s">
        <v>26</v>
      </c>
      <c r="D143">
        <v>7</v>
      </c>
      <c r="E143" t="s">
        <v>25</v>
      </c>
      <c r="F143" t="s">
        <v>65</v>
      </c>
      <c r="G143" t="s">
        <v>104</v>
      </c>
      <c r="H143" t="s">
        <v>11</v>
      </c>
      <c r="I143" s="4">
        <v>916</v>
      </c>
      <c r="J143" t="s">
        <v>46</v>
      </c>
      <c r="K143" t="s">
        <v>226</v>
      </c>
    </row>
    <row r="144" spans="1:11" x14ac:dyDescent="0.3">
      <c r="A144" t="s">
        <v>247</v>
      </c>
      <c r="B144" s="3">
        <v>45870</v>
      </c>
      <c r="C144" t="s">
        <v>28</v>
      </c>
      <c r="D144">
        <v>8</v>
      </c>
      <c r="E144" t="s">
        <v>10</v>
      </c>
      <c r="F144" t="s">
        <v>92</v>
      </c>
      <c r="G144" t="s">
        <v>117</v>
      </c>
      <c r="H144" t="s">
        <v>20</v>
      </c>
      <c r="I144" s="4">
        <v>1785</v>
      </c>
      <c r="J144" t="s">
        <v>46</v>
      </c>
      <c r="K144" t="s">
        <v>248</v>
      </c>
    </row>
    <row r="145" spans="1:11" x14ac:dyDescent="0.3">
      <c r="A145" t="s">
        <v>249</v>
      </c>
      <c r="B145" s="3">
        <v>45870</v>
      </c>
      <c r="C145" t="s">
        <v>28</v>
      </c>
      <c r="D145">
        <v>8</v>
      </c>
      <c r="E145" t="s">
        <v>19</v>
      </c>
      <c r="F145" t="s">
        <v>59</v>
      </c>
      <c r="G145" t="s">
        <v>60</v>
      </c>
      <c r="H145" t="s">
        <v>20</v>
      </c>
      <c r="I145" s="4">
        <v>3445</v>
      </c>
      <c r="J145" t="s">
        <v>46</v>
      </c>
      <c r="K145" t="s">
        <v>248</v>
      </c>
    </row>
    <row r="146" spans="1:11" x14ac:dyDescent="0.3">
      <c r="A146" t="s">
        <v>250</v>
      </c>
      <c r="B146" s="3">
        <v>45872</v>
      </c>
      <c r="C146" t="s">
        <v>28</v>
      </c>
      <c r="D146">
        <v>8</v>
      </c>
      <c r="E146" t="s">
        <v>16</v>
      </c>
      <c r="F146" t="s">
        <v>44</v>
      </c>
      <c r="G146" t="s">
        <v>190</v>
      </c>
      <c r="H146" t="s">
        <v>20</v>
      </c>
      <c r="I146" s="4">
        <v>1591</v>
      </c>
      <c r="J146" t="s">
        <v>46</v>
      </c>
      <c r="K146" t="s">
        <v>248</v>
      </c>
    </row>
    <row r="147" spans="1:11" x14ac:dyDescent="0.3">
      <c r="A147" t="s">
        <v>251</v>
      </c>
      <c r="B147" s="3">
        <v>45874</v>
      </c>
      <c r="C147" t="s">
        <v>28</v>
      </c>
      <c r="D147">
        <v>8</v>
      </c>
      <c r="E147" t="s">
        <v>27</v>
      </c>
      <c r="F147" t="s">
        <v>100</v>
      </c>
      <c r="G147" t="s">
        <v>79</v>
      </c>
      <c r="H147" t="s">
        <v>11</v>
      </c>
      <c r="I147" s="4">
        <v>321</v>
      </c>
      <c r="J147" t="s">
        <v>46</v>
      </c>
      <c r="K147" t="s">
        <v>248</v>
      </c>
    </row>
    <row r="148" spans="1:11" x14ac:dyDescent="0.3">
      <c r="A148" t="s">
        <v>252</v>
      </c>
      <c r="B148" s="3">
        <v>45875</v>
      </c>
      <c r="C148" t="s">
        <v>28</v>
      </c>
      <c r="D148">
        <v>8</v>
      </c>
      <c r="E148" t="s">
        <v>25</v>
      </c>
      <c r="F148" t="s">
        <v>65</v>
      </c>
      <c r="G148" t="s">
        <v>104</v>
      </c>
      <c r="H148" t="s">
        <v>17</v>
      </c>
      <c r="I148" s="4">
        <v>1539</v>
      </c>
      <c r="J148" t="s">
        <v>46</v>
      </c>
      <c r="K148" t="s">
        <v>248</v>
      </c>
    </row>
    <row r="149" spans="1:11" x14ac:dyDescent="0.3">
      <c r="A149" t="s">
        <v>253</v>
      </c>
      <c r="B149" s="3">
        <v>45877</v>
      </c>
      <c r="C149" t="s">
        <v>28</v>
      </c>
      <c r="D149">
        <v>8</v>
      </c>
      <c r="E149" t="s">
        <v>10</v>
      </c>
      <c r="F149" t="s">
        <v>84</v>
      </c>
      <c r="G149" t="s">
        <v>85</v>
      </c>
      <c r="H149" t="s">
        <v>17</v>
      </c>
      <c r="I149" s="4">
        <v>139</v>
      </c>
      <c r="J149" t="s">
        <v>46</v>
      </c>
      <c r="K149" t="s">
        <v>248</v>
      </c>
    </row>
    <row r="150" spans="1:11" x14ac:dyDescent="0.3">
      <c r="A150" t="s">
        <v>254</v>
      </c>
      <c r="B150" s="3">
        <v>45877</v>
      </c>
      <c r="C150" t="s">
        <v>28</v>
      </c>
      <c r="D150">
        <v>8</v>
      </c>
      <c r="E150" t="s">
        <v>22</v>
      </c>
      <c r="F150" t="s">
        <v>52</v>
      </c>
      <c r="G150" t="s">
        <v>134</v>
      </c>
      <c r="H150" t="s">
        <v>11</v>
      </c>
      <c r="I150" s="4">
        <v>396</v>
      </c>
      <c r="J150" t="s">
        <v>46</v>
      </c>
      <c r="K150" t="s">
        <v>248</v>
      </c>
    </row>
    <row r="151" spans="1:11" x14ac:dyDescent="0.3">
      <c r="A151" t="s">
        <v>255</v>
      </c>
      <c r="B151" s="3">
        <v>45879</v>
      </c>
      <c r="C151" t="s">
        <v>28</v>
      </c>
      <c r="D151">
        <v>8</v>
      </c>
      <c r="E151" t="s">
        <v>13</v>
      </c>
      <c r="F151" t="s">
        <v>55</v>
      </c>
      <c r="G151" t="s">
        <v>63</v>
      </c>
      <c r="H151" t="s">
        <v>23</v>
      </c>
      <c r="I151" s="4">
        <v>306</v>
      </c>
      <c r="J151" t="s">
        <v>46</v>
      </c>
      <c r="K151" t="s">
        <v>248</v>
      </c>
    </row>
    <row r="152" spans="1:11" x14ac:dyDescent="0.3">
      <c r="A152" t="s">
        <v>256</v>
      </c>
      <c r="B152" s="3">
        <v>45879</v>
      </c>
      <c r="C152" t="s">
        <v>28</v>
      </c>
      <c r="D152">
        <v>8</v>
      </c>
      <c r="E152" t="s">
        <v>25</v>
      </c>
      <c r="F152" t="s">
        <v>68</v>
      </c>
      <c r="G152" t="s">
        <v>66</v>
      </c>
      <c r="H152" t="s">
        <v>11</v>
      </c>
      <c r="I152" s="4">
        <v>612</v>
      </c>
      <c r="J152" t="s">
        <v>46</v>
      </c>
      <c r="K152" t="s">
        <v>248</v>
      </c>
    </row>
    <row r="153" spans="1:11" x14ac:dyDescent="0.3">
      <c r="A153" t="s">
        <v>257</v>
      </c>
      <c r="B153" s="3">
        <v>45879</v>
      </c>
      <c r="C153" t="s">
        <v>28</v>
      </c>
      <c r="D153">
        <v>8</v>
      </c>
      <c r="E153" t="s">
        <v>25</v>
      </c>
      <c r="F153" t="s">
        <v>68</v>
      </c>
      <c r="G153" t="s">
        <v>207</v>
      </c>
      <c r="H153" t="s">
        <v>14</v>
      </c>
      <c r="I153" s="4">
        <v>1041</v>
      </c>
      <c r="J153" t="s">
        <v>46</v>
      </c>
      <c r="K153" t="s">
        <v>248</v>
      </c>
    </row>
    <row r="154" spans="1:11" x14ac:dyDescent="0.3">
      <c r="A154" t="s">
        <v>258</v>
      </c>
      <c r="B154" s="3">
        <v>45880</v>
      </c>
      <c r="C154" t="s">
        <v>28</v>
      </c>
      <c r="D154">
        <v>8</v>
      </c>
      <c r="E154" t="s">
        <v>16</v>
      </c>
      <c r="F154" t="s">
        <v>95</v>
      </c>
      <c r="G154" t="s">
        <v>169</v>
      </c>
      <c r="H154" t="s">
        <v>20</v>
      </c>
      <c r="I154" s="4">
        <v>1511</v>
      </c>
      <c r="J154" t="s">
        <v>46</v>
      </c>
      <c r="K154" t="s">
        <v>248</v>
      </c>
    </row>
    <row r="155" spans="1:11" x14ac:dyDescent="0.3">
      <c r="A155" t="s">
        <v>259</v>
      </c>
      <c r="B155" s="3">
        <v>45881</v>
      </c>
      <c r="C155" t="s">
        <v>28</v>
      </c>
      <c r="D155">
        <v>8</v>
      </c>
      <c r="E155" t="s">
        <v>22</v>
      </c>
      <c r="F155" t="s">
        <v>76</v>
      </c>
      <c r="G155" t="s">
        <v>77</v>
      </c>
      <c r="H155" t="s">
        <v>17</v>
      </c>
      <c r="I155" s="4">
        <v>1155</v>
      </c>
      <c r="J155" t="s">
        <v>46</v>
      </c>
      <c r="K155" t="s">
        <v>248</v>
      </c>
    </row>
    <row r="156" spans="1:11" x14ac:dyDescent="0.3">
      <c r="A156" t="s">
        <v>260</v>
      </c>
      <c r="B156" s="3">
        <v>45882</v>
      </c>
      <c r="C156" t="s">
        <v>28</v>
      </c>
      <c r="D156">
        <v>8</v>
      </c>
      <c r="E156" t="s">
        <v>29</v>
      </c>
      <c r="F156" t="s">
        <v>73</v>
      </c>
      <c r="G156" t="s">
        <v>146</v>
      </c>
      <c r="H156" t="s">
        <v>11</v>
      </c>
      <c r="I156" s="4">
        <v>757</v>
      </c>
      <c r="J156" t="s">
        <v>46</v>
      </c>
      <c r="K156" t="s">
        <v>248</v>
      </c>
    </row>
    <row r="157" spans="1:11" x14ac:dyDescent="0.3">
      <c r="A157" t="s">
        <v>261</v>
      </c>
      <c r="B157" s="3">
        <v>45883</v>
      </c>
      <c r="C157" t="s">
        <v>28</v>
      </c>
      <c r="D157">
        <v>8</v>
      </c>
      <c r="E157" t="s">
        <v>13</v>
      </c>
      <c r="F157" t="s">
        <v>123</v>
      </c>
      <c r="G157" t="s">
        <v>89</v>
      </c>
      <c r="H157" t="s">
        <v>20</v>
      </c>
      <c r="I157" s="4">
        <v>71</v>
      </c>
      <c r="J157" t="s">
        <v>46</v>
      </c>
      <c r="K157" t="s">
        <v>248</v>
      </c>
    </row>
    <row r="158" spans="1:11" x14ac:dyDescent="0.3">
      <c r="A158" t="s">
        <v>262</v>
      </c>
      <c r="B158" s="3">
        <v>45884</v>
      </c>
      <c r="C158" t="s">
        <v>28</v>
      </c>
      <c r="D158">
        <v>8</v>
      </c>
      <c r="E158" t="s">
        <v>25</v>
      </c>
      <c r="F158" t="s">
        <v>68</v>
      </c>
      <c r="G158" t="s">
        <v>207</v>
      </c>
      <c r="H158" t="s">
        <v>20</v>
      </c>
      <c r="I158" s="4">
        <v>712</v>
      </c>
      <c r="J158" t="s">
        <v>46</v>
      </c>
      <c r="K158" t="s">
        <v>248</v>
      </c>
    </row>
    <row r="159" spans="1:11" x14ac:dyDescent="0.3">
      <c r="A159" t="s">
        <v>263</v>
      </c>
      <c r="B159" s="3">
        <v>45885</v>
      </c>
      <c r="C159" t="s">
        <v>28</v>
      </c>
      <c r="D159">
        <v>8</v>
      </c>
      <c r="E159" t="s">
        <v>16</v>
      </c>
      <c r="F159" t="s">
        <v>95</v>
      </c>
      <c r="G159" t="s">
        <v>190</v>
      </c>
      <c r="H159" t="s">
        <v>11</v>
      </c>
      <c r="I159" s="4">
        <v>2100</v>
      </c>
      <c r="J159" t="s">
        <v>46</v>
      </c>
      <c r="K159" t="s">
        <v>248</v>
      </c>
    </row>
    <row r="160" spans="1:11" x14ac:dyDescent="0.3">
      <c r="A160" t="s">
        <v>264</v>
      </c>
      <c r="B160" s="3">
        <v>45888</v>
      </c>
      <c r="C160" t="s">
        <v>28</v>
      </c>
      <c r="D160">
        <v>8</v>
      </c>
      <c r="E160" t="s">
        <v>22</v>
      </c>
      <c r="F160" t="s">
        <v>127</v>
      </c>
      <c r="G160" t="s">
        <v>134</v>
      </c>
      <c r="H160" t="s">
        <v>20</v>
      </c>
      <c r="I160" s="4">
        <v>1285</v>
      </c>
      <c r="J160" t="s">
        <v>46</v>
      </c>
      <c r="K160" t="s">
        <v>248</v>
      </c>
    </row>
    <row r="161" spans="1:11" x14ac:dyDescent="0.3">
      <c r="A161" t="s">
        <v>265</v>
      </c>
      <c r="B161" s="3">
        <v>45888</v>
      </c>
      <c r="C161" t="s">
        <v>28</v>
      </c>
      <c r="D161">
        <v>8</v>
      </c>
      <c r="E161" t="s">
        <v>19</v>
      </c>
      <c r="F161" t="s">
        <v>81</v>
      </c>
      <c r="G161" t="s">
        <v>110</v>
      </c>
      <c r="H161" t="s">
        <v>20</v>
      </c>
      <c r="I161" s="4">
        <v>4968</v>
      </c>
      <c r="J161" t="s">
        <v>46</v>
      </c>
      <c r="K161" t="s">
        <v>248</v>
      </c>
    </row>
    <row r="162" spans="1:11" x14ac:dyDescent="0.3">
      <c r="A162" t="s">
        <v>266</v>
      </c>
      <c r="B162" s="3">
        <v>45890</v>
      </c>
      <c r="C162" t="s">
        <v>28</v>
      </c>
      <c r="D162">
        <v>8</v>
      </c>
      <c r="E162" t="s">
        <v>25</v>
      </c>
      <c r="F162" t="s">
        <v>103</v>
      </c>
      <c r="G162" t="s">
        <v>104</v>
      </c>
      <c r="H162" t="s">
        <v>14</v>
      </c>
      <c r="I162" s="4">
        <v>858</v>
      </c>
      <c r="J162" t="s">
        <v>46</v>
      </c>
      <c r="K162" t="s">
        <v>248</v>
      </c>
    </row>
    <row r="163" spans="1:11" x14ac:dyDescent="0.3">
      <c r="A163" t="s">
        <v>267</v>
      </c>
      <c r="B163" s="3">
        <v>45891</v>
      </c>
      <c r="C163" t="s">
        <v>28</v>
      </c>
      <c r="D163">
        <v>8</v>
      </c>
      <c r="E163" t="s">
        <v>16</v>
      </c>
      <c r="F163" t="s">
        <v>44</v>
      </c>
      <c r="G163" t="s">
        <v>45</v>
      </c>
      <c r="H163" t="s">
        <v>20</v>
      </c>
      <c r="I163" s="4">
        <v>1617</v>
      </c>
      <c r="J163" t="s">
        <v>46</v>
      </c>
      <c r="K163" t="s">
        <v>248</v>
      </c>
    </row>
    <row r="164" spans="1:11" x14ac:dyDescent="0.3">
      <c r="A164" t="s">
        <v>268</v>
      </c>
      <c r="B164" s="3">
        <v>45891</v>
      </c>
      <c r="C164" t="s">
        <v>28</v>
      </c>
      <c r="D164">
        <v>8</v>
      </c>
      <c r="E164" t="s">
        <v>16</v>
      </c>
      <c r="F164" t="s">
        <v>44</v>
      </c>
      <c r="G164" t="s">
        <v>140</v>
      </c>
      <c r="H164" t="s">
        <v>11</v>
      </c>
      <c r="I164" s="4">
        <v>640</v>
      </c>
      <c r="J164" t="s">
        <v>46</v>
      </c>
      <c r="K164" t="s">
        <v>248</v>
      </c>
    </row>
    <row r="165" spans="1:11" x14ac:dyDescent="0.3">
      <c r="A165" t="s">
        <v>269</v>
      </c>
      <c r="B165" s="3">
        <v>45892</v>
      </c>
      <c r="C165" t="s">
        <v>28</v>
      </c>
      <c r="D165">
        <v>8</v>
      </c>
      <c r="E165" t="s">
        <v>13</v>
      </c>
      <c r="F165" t="s">
        <v>157</v>
      </c>
      <c r="G165" t="s">
        <v>89</v>
      </c>
      <c r="H165" t="s">
        <v>23</v>
      </c>
      <c r="I165" s="4">
        <v>1141</v>
      </c>
      <c r="J165" t="s">
        <v>46</v>
      </c>
      <c r="K165" t="s">
        <v>248</v>
      </c>
    </row>
    <row r="166" spans="1:11" x14ac:dyDescent="0.3">
      <c r="A166" t="s">
        <v>270</v>
      </c>
      <c r="B166" s="3">
        <v>45894</v>
      </c>
      <c r="C166" t="s">
        <v>28</v>
      </c>
      <c r="D166">
        <v>8</v>
      </c>
      <c r="E166" t="s">
        <v>27</v>
      </c>
      <c r="F166" t="s">
        <v>49</v>
      </c>
      <c r="G166" t="s">
        <v>79</v>
      </c>
      <c r="H166" t="s">
        <v>17</v>
      </c>
      <c r="I166" s="4">
        <v>868</v>
      </c>
      <c r="J166" t="s">
        <v>46</v>
      </c>
      <c r="K166" t="s">
        <v>248</v>
      </c>
    </row>
    <row r="167" spans="1:11" x14ac:dyDescent="0.3">
      <c r="A167" t="s">
        <v>271</v>
      </c>
      <c r="B167" s="3">
        <v>45896</v>
      </c>
      <c r="C167" t="s">
        <v>28</v>
      </c>
      <c r="D167">
        <v>8</v>
      </c>
      <c r="E167" t="s">
        <v>29</v>
      </c>
      <c r="F167" t="s">
        <v>167</v>
      </c>
      <c r="G167" t="s">
        <v>146</v>
      </c>
      <c r="H167" t="s">
        <v>23</v>
      </c>
      <c r="I167" s="4">
        <v>1633</v>
      </c>
      <c r="J167" t="s">
        <v>46</v>
      </c>
      <c r="K167" t="s">
        <v>248</v>
      </c>
    </row>
    <row r="168" spans="1:11" x14ac:dyDescent="0.3">
      <c r="A168" t="s">
        <v>272</v>
      </c>
      <c r="B168" s="3">
        <v>45897</v>
      </c>
      <c r="C168" t="s">
        <v>28</v>
      </c>
      <c r="D168">
        <v>8</v>
      </c>
      <c r="E168" t="s">
        <v>16</v>
      </c>
      <c r="F168" t="s">
        <v>151</v>
      </c>
      <c r="G168" t="s">
        <v>190</v>
      </c>
      <c r="H168" t="s">
        <v>11</v>
      </c>
      <c r="I168" s="4">
        <v>11000</v>
      </c>
      <c r="J168" t="s">
        <v>46</v>
      </c>
      <c r="K168" t="s">
        <v>248</v>
      </c>
    </row>
    <row r="169" spans="1:11" x14ac:dyDescent="0.3">
      <c r="A169" t="s">
        <v>273</v>
      </c>
      <c r="B169" s="3">
        <v>45898</v>
      </c>
      <c r="C169" t="s">
        <v>28</v>
      </c>
      <c r="D169">
        <v>8</v>
      </c>
      <c r="E169" t="s">
        <v>10</v>
      </c>
      <c r="F169" t="s">
        <v>179</v>
      </c>
      <c r="G169" t="s">
        <v>85</v>
      </c>
      <c r="H169" t="s">
        <v>11</v>
      </c>
      <c r="I169" s="4">
        <v>796</v>
      </c>
      <c r="J169" t="s">
        <v>46</v>
      </c>
      <c r="K169" t="s">
        <v>248</v>
      </c>
    </row>
    <row r="170" spans="1:11" x14ac:dyDescent="0.3">
      <c r="A170" t="s">
        <v>274</v>
      </c>
      <c r="B170" s="3">
        <v>45898</v>
      </c>
      <c r="C170" t="s">
        <v>28</v>
      </c>
      <c r="D170">
        <v>8</v>
      </c>
      <c r="E170" t="s">
        <v>29</v>
      </c>
      <c r="F170" t="s">
        <v>167</v>
      </c>
      <c r="G170" t="s">
        <v>132</v>
      </c>
      <c r="H170" t="s">
        <v>20</v>
      </c>
      <c r="I170" s="4">
        <v>621</v>
      </c>
      <c r="J170" t="s">
        <v>46</v>
      </c>
      <c r="K170" t="s">
        <v>248</v>
      </c>
    </row>
    <row r="171" spans="1:11" x14ac:dyDescent="0.3">
      <c r="A171" t="s">
        <v>275</v>
      </c>
      <c r="B171" s="3">
        <v>45900</v>
      </c>
      <c r="C171" t="s">
        <v>28</v>
      </c>
      <c r="D171">
        <v>8</v>
      </c>
      <c r="E171" t="s">
        <v>27</v>
      </c>
      <c r="F171" t="s">
        <v>100</v>
      </c>
      <c r="G171" t="s">
        <v>79</v>
      </c>
      <c r="H171" t="s">
        <v>14</v>
      </c>
      <c r="I171" s="4">
        <v>2818</v>
      </c>
      <c r="J171" t="s">
        <v>46</v>
      </c>
      <c r="K171" t="s">
        <v>248</v>
      </c>
    </row>
    <row r="172" spans="1:11" x14ac:dyDescent="0.3">
      <c r="A172" t="s">
        <v>276</v>
      </c>
      <c r="B172" s="3">
        <v>45900</v>
      </c>
      <c r="C172" t="s">
        <v>28</v>
      </c>
      <c r="D172">
        <v>8</v>
      </c>
      <c r="E172" t="s">
        <v>16</v>
      </c>
      <c r="F172" t="s">
        <v>151</v>
      </c>
      <c r="G172" t="s">
        <v>45</v>
      </c>
      <c r="H172" t="s">
        <v>11</v>
      </c>
      <c r="I172" s="4">
        <v>10000</v>
      </c>
      <c r="J172" t="s">
        <v>46</v>
      </c>
      <c r="K172" t="s">
        <v>248</v>
      </c>
    </row>
    <row r="173" spans="1:11" x14ac:dyDescent="0.3">
      <c r="A173" t="s">
        <v>277</v>
      </c>
      <c r="B173" s="3">
        <v>45902</v>
      </c>
      <c r="C173" t="s">
        <v>30</v>
      </c>
      <c r="D173">
        <v>9</v>
      </c>
      <c r="E173" t="s">
        <v>16</v>
      </c>
      <c r="F173" t="s">
        <v>151</v>
      </c>
      <c r="G173" t="s">
        <v>140</v>
      </c>
      <c r="H173" t="s">
        <v>11</v>
      </c>
      <c r="I173" s="4">
        <v>8000</v>
      </c>
      <c r="J173" t="s">
        <v>46</v>
      </c>
      <c r="K173" t="s">
        <v>278</v>
      </c>
    </row>
    <row r="174" spans="1:11" x14ac:dyDescent="0.3">
      <c r="A174" t="s">
        <v>279</v>
      </c>
      <c r="B174" s="3">
        <v>45905</v>
      </c>
      <c r="C174" t="s">
        <v>30</v>
      </c>
      <c r="D174">
        <v>9</v>
      </c>
      <c r="E174" t="s">
        <v>13</v>
      </c>
      <c r="F174" t="s">
        <v>62</v>
      </c>
      <c r="G174" t="s">
        <v>70</v>
      </c>
      <c r="H174" t="s">
        <v>23</v>
      </c>
      <c r="I174" s="4">
        <v>821</v>
      </c>
      <c r="J174" t="s">
        <v>46</v>
      </c>
      <c r="K174" t="s">
        <v>278</v>
      </c>
    </row>
    <row r="175" spans="1:11" x14ac:dyDescent="0.3">
      <c r="A175" t="s">
        <v>280</v>
      </c>
      <c r="B175" s="3">
        <v>45906</v>
      </c>
      <c r="C175" t="s">
        <v>30</v>
      </c>
      <c r="D175">
        <v>9</v>
      </c>
      <c r="E175" t="s">
        <v>10</v>
      </c>
      <c r="F175" t="s">
        <v>185</v>
      </c>
      <c r="G175" t="s">
        <v>117</v>
      </c>
      <c r="H175" t="s">
        <v>14</v>
      </c>
      <c r="I175" s="4">
        <v>768</v>
      </c>
      <c r="J175" t="s">
        <v>46</v>
      </c>
      <c r="K175" t="s">
        <v>278</v>
      </c>
    </row>
    <row r="176" spans="1:11" x14ac:dyDescent="0.3">
      <c r="A176" t="s">
        <v>281</v>
      </c>
      <c r="B176" s="3">
        <v>45907</v>
      </c>
      <c r="C176" t="s">
        <v>30</v>
      </c>
      <c r="D176">
        <v>9</v>
      </c>
      <c r="E176" t="s">
        <v>22</v>
      </c>
      <c r="F176" t="s">
        <v>127</v>
      </c>
      <c r="G176" t="s">
        <v>53</v>
      </c>
      <c r="H176" t="s">
        <v>23</v>
      </c>
      <c r="I176" s="4">
        <v>1053</v>
      </c>
      <c r="J176" t="s">
        <v>46</v>
      </c>
      <c r="K176" t="s">
        <v>278</v>
      </c>
    </row>
    <row r="177" spans="1:11" x14ac:dyDescent="0.3">
      <c r="A177" t="s">
        <v>282</v>
      </c>
      <c r="B177" s="3">
        <v>45911</v>
      </c>
      <c r="C177" t="s">
        <v>30</v>
      </c>
      <c r="D177">
        <v>9</v>
      </c>
      <c r="E177" t="s">
        <v>10</v>
      </c>
      <c r="F177" t="s">
        <v>92</v>
      </c>
      <c r="G177" t="s">
        <v>180</v>
      </c>
      <c r="H177" t="s">
        <v>11</v>
      </c>
      <c r="I177" s="4">
        <v>1108</v>
      </c>
      <c r="J177" t="s">
        <v>46</v>
      </c>
      <c r="K177" t="s">
        <v>278</v>
      </c>
    </row>
    <row r="178" spans="1:11" x14ac:dyDescent="0.3">
      <c r="A178" t="s">
        <v>283</v>
      </c>
      <c r="B178" s="3">
        <v>45916</v>
      </c>
      <c r="C178" t="s">
        <v>30</v>
      </c>
      <c r="D178">
        <v>9</v>
      </c>
      <c r="E178" t="s">
        <v>29</v>
      </c>
      <c r="F178" t="s">
        <v>167</v>
      </c>
      <c r="G178" t="s">
        <v>146</v>
      </c>
      <c r="H178" t="s">
        <v>11</v>
      </c>
      <c r="I178" s="4">
        <v>2104</v>
      </c>
      <c r="J178" t="s">
        <v>46</v>
      </c>
      <c r="K178" t="s">
        <v>278</v>
      </c>
    </row>
    <row r="179" spans="1:11" x14ac:dyDescent="0.3">
      <c r="A179" t="s">
        <v>284</v>
      </c>
      <c r="B179" s="3">
        <v>45919</v>
      </c>
      <c r="C179" t="s">
        <v>30</v>
      </c>
      <c r="D179">
        <v>9</v>
      </c>
      <c r="E179" t="s">
        <v>13</v>
      </c>
      <c r="F179" t="s">
        <v>123</v>
      </c>
      <c r="G179" t="s">
        <v>89</v>
      </c>
      <c r="H179" t="s">
        <v>17</v>
      </c>
      <c r="I179" s="4">
        <v>1220</v>
      </c>
      <c r="J179" t="s">
        <v>46</v>
      </c>
      <c r="K179" t="s">
        <v>278</v>
      </c>
    </row>
    <row r="180" spans="1:11" x14ac:dyDescent="0.3">
      <c r="A180" t="s">
        <v>285</v>
      </c>
      <c r="B180" s="3">
        <v>45925</v>
      </c>
      <c r="C180" t="s">
        <v>30</v>
      </c>
      <c r="D180">
        <v>9</v>
      </c>
      <c r="E180" t="s">
        <v>27</v>
      </c>
      <c r="F180" t="s">
        <v>100</v>
      </c>
      <c r="G180" t="s">
        <v>187</v>
      </c>
      <c r="H180" t="s">
        <v>23</v>
      </c>
      <c r="I180" s="4">
        <v>1913</v>
      </c>
      <c r="J180" t="s">
        <v>46</v>
      </c>
      <c r="K180" t="s">
        <v>278</v>
      </c>
    </row>
    <row r="181" spans="1:11" x14ac:dyDescent="0.3">
      <c r="A181" t="s">
        <v>286</v>
      </c>
      <c r="B181" s="3">
        <v>45930</v>
      </c>
      <c r="C181" t="s">
        <v>30</v>
      </c>
      <c r="D181">
        <v>9</v>
      </c>
      <c r="E181" t="s">
        <v>16</v>
      </c>
      <c r="F181" t="s">
        <v>139</v>
      </c>
      <c r="G181" t="s">
        <v>169</v>
      </c>
      <c r="H181" t="s">
        <v>23</v>
      </c>
      <c r="I181" s="4">
        <v>1601</v>
      </c>
      <c r="J181" t="s">
        <v>46</v>
      </c>
      <c r="K181" t="s">
        <v>278</v>
      </c>
    </row>
    <row r="182" spans="1:11" x14ac:dyDescent="0.3">
      <c r="A182" t="s">
        <v>287</v>
      </c>
      <c r="B182" s="3">
        <v>45931</v>
      </c>
      <c r="C182" t="s">
        <v>31</v>
      </c>
      <c r="D182">
        <v>10</v>
      </c>
      <c r="E182" t="s">
        <v>19</v>
      </c>
      <c r="F182" t="s">
        <v>109</v>
      </c>
      <c r="G182" t="s">
        <v>60</v>
      </c>
      <c r="H182" t="s">
        <v>17</v>
      </c>
      <c r="I182" s="4">
        <v>4086</v>
      </c>
      <c r="J182" t="s">
        <v>46</v>
      </c>
      <c r="K182" t="s">
        <v>288</v>
      </c>
    </row>
    <row r="183" spans="1:11" x14ac:dyDescent="0.3">
      <c r="A183" t="s">
        <v>289</v>
      </c>
      <c r="B183" s="3">
        <v>45932</v>
      </c>
      <c r="C183" t="s">
        <v>31</v>
      </c>
      <c r="D183">
        <v>10</v>
      </c>
      <c r="E183" t="s">
        <v>13</v>
      </c>
      <c r="F183" t="s">
        <v>123</v>
      </c>
      <c r="G183" t="s">
        <v>70</v>
      </c>
      <c r="H183" t="s">
        <v>23</v>
      </c>
      <c r="I183" s="4">
        <v>201</v>
      </c>
      <c r="J183" t="s">
        <v>46</v>
      </c>
      <c r="K183" t="s">
        <v>288</v>
      </c>
    </row>
    <row r="184" spans="1:11" x14ac:dyDescent="0.3">
      <c r="A184" t="s">
        <v>290</v>
      </c>
      <c r="B184" s="3">
        <v>45933</v>
      </c>
      <c r="C184" t="s">
        <v>31</v>
      </c>
      <c r="D184">
        <v>10</v>
      </c>
      <c r="E184" t="s">
        <v>29</v>
      </c>
      <c r="F184" t="s">
        <v>167</v>
      </c>
      <c r="G184" t="s">
        <v>132</v>
      </c>
      <c r="H184" t="s">
        <v>23</v>
      </c>
      <c r="I184" s="4">
        <v>930</v>
      </c>
      <c r="J184" t="s">
        <v>46</v>
      </c>
      <c r="K184" t="s">
        <v>288</v>
      </c>
    </row>
    <row r="185" spans="1:11" x14ac:dyDescent="0.3">
      <c r="A185" t="s">
        <v>291</v>
      </c>
      <c r="B185" s="3">
        <v>45939</v>
      </c>
      <c r="C185" t="s">
        <v>31</v>
      </c>
      <c r="D185">
        <v>10</v>
      </c>
      <c r="E185" t="s">
        <v>13</v>
      </c>
      <c r="F185" t="s">
        <v>157</v>
      </c>
      <c r="G185" t="s">
        <v>63</v>
      </c>
      <c r="H185" t="s">
        <v>11</v>
      </c>
      <c r="I185" s="4">
        <v>1375</v>
      </c>
      <c r="J185" t="s">
        <v>46</v>
      </c>
      <c r="K185" t="s">
        <v>288</v>
      </c>
    </row>
    <row r="186" spans="1:11" x14ac:dyDescent="0.3">
      <c r="A186" t="s">
        <v>292</v>
      </c>
      <c r="B186" s="3">
        <v>45941</v>
      </c>
      <c r="C186" t="s">
        <v>31</v>
      </c>
      <c r="D186">
        <v>10</v>
      </c>
      <c r="E186" t="s">
        <v>19</v>
      </c>
      <c r="F186" t="s">
        <v>59</v>
      </c>
      <c r="G186" t="s">
        <v>82</v>
      </c>
      <c r="H186" t="s">
        <v>17</v>
      </c>
      <c r="I186" s="4">
        <v>2069</v>
      </c>
      <c r="J186" t="s">
        <v>46</v>
      </c>
      <c r="K186" t="s">
        <v>288</v>
      </c>
    </row>
    <row r="187" spans="1:11" x14ac:dyDescent="0.3">
      <c r="A187" t="s">
        <v>293</v>
      </c>
      <c r="B187" s="3">
        <v>45942</v>
      </c>
      <c r="C187" t="s">
        <v>31</v>
      </c>
      <c r="D187">
        <v>10</v>
      </c>
      <c r="E187" t="s">
        <v>25</v>
      </c>
      <c r="F187" t="s">
        <v>103</v>
      </c>
      <c r="G187" t="s">
        <v>207</v>
      </c>
      <c r="H187" t="s">
        <v>14</v>
      </c>
      <c r="I187" s="4">
        <v>670</v>
      </c>
      <c r="J187" t="s">
        <v>46</v>
      </c>
      <c r="K187" t="s">
        <v>288</v>
      </c>
    </row>
    <row r="188" spans="1:11" x14ac:dyDescent="0.3">
      <c r="A188" t="s">
        <v>294</v>
      </c>
      <c r="B188" s="3">
        <v>45943</v>
      </c>
      <c r="C188" t="s">
        <v>31</v>
      </c>
      <c r="D188">
        <v>10</v>
      </c>
      <c r="E188" t="s">
        <v>27</v>
      </c>
      <c r="F188" t="s">
        <v>97</v>
      </c>
      <c r="G188" t="s">
        <v>79</v>
      </c>
      <c r="H188" t="s">
        <v>14</v>
      </c>
      <c r="I188" s="4">
        <v>2541</v>
      </c>
      <c r="J188" t="s">
        <v>46</v>
      </c>
      <c r="K188" t="s">
        <v>288</v>
      </c>
    </row>
    <row r="189" spans="1:11" x14ac:dyDescent="0.3">
      <c r="A189" t="s">
        <v>295</v>
      </c>
      <c r="B189" s="3">
        <v>45945</v>
      </c>
      <c r="C189" t="s">
        <v>31</v>
      </c>
      <c r="D189">
        <v>10</v>
      </c>
      <c r="E189" t="s">
        <v>22</v>
      </c>
      <c r="F189" t="s">
        <v>52</v>
      </c>
      <c r="G189" t="s">
        <v>134</v>
      </c>
      <c r="H189" t="s">
        <v>20</v>
      </c>
      <c r="I189" s="4">
        <v>1904</v>
      </c>
      <c r="J189" t="s">
        <v>46</v>
      </c>
      <c r="K189" t="s">
        <v>288</v>
      </c>
    </row>
    <row r="190" spans="1:11" x14ac:dyDescent="0.3">
      <c r="A190" t="s">
        <v>296</v>
      </c>
      <c r="B190" s="3">
        <v>45945</v>
      </c>
      <c r="C190" t="s">
        <v>31</v>
      </c>
      <c r="D190">
        <v>10</v>
      </c>
      <c r="E190" t="s">
        <v>25</v>
      </c>
      <c r="F190" t="s">
        <v>68</v>
      </c>
      <c r="G190" t="s">
        <v>104</v>
      </c>
      <c r="H190" t="s">
        <v>17</v>
      </c>
      <c r="I190" s="4">
        <v>350</v>
      </c>
      <c r="J190" t="s">
        <v>46</v>
      </c>
      <c r="K190" t="s">
        <v>288</v>
      </c>
    </row>
    <row r="191" spans="1:11" x14ac:dyDescent="0.3">
      <c r="A191" t="s">
        <v>297</v>
      </c>
      <c r="B191" s="3">
        <v>45945</v>
      </c>
      <c r="C191" t="s">
        <v>31</v>
      </c>
      <c r="D191">
        <v>10</v>
      </c>
      <c r="E191" t="s">
        <v>10</v>
      </c>
      <c r="F191" t="s">
        <v>179</v>
      </c>
      <c r="G191" t="s">
        <v>85</v>
      </c>
      <c r="H191" t="s">
        <v>23</v>
      </c>
      <c r="I191" s="4">
        <v>234</v>
      </c>
      <c r="J191" t="s">
        <v>46</v>
      </c>
      <c r="K191" t="s">
        <v>288</v>
      </c>
    </row>
    <row r="192" spans="1:11" x14ac:dyDescent="0.3">
      <c r="A192" t="s">
        <v>298</v>
      </c>
      <c r="B192" s="3">
        <v>45946</v>
      </c>
      <c r="C192" t="s">
        <v>31</v>
      </c>
      <c r="D192">
        <v>10</v>
      </c>
      <c r="E192" t="s">
        <v>19</v>
      </c>
      <c r="F192" t="s">
        <v>81</v>
      </c>
      <c r="G192" t="s">
        <v>60</v>
      </c>
      <c r="H192" t="s">
        <v>14</v>
      </c>
      <c r="I192" s="4">
        <v>2399</v>
      </c>
      <c r="J192" t="s">
        <v>46</v>
      </c>
      <c r="K192" t="s">
        <v>288</v>
      </c>
    </row>
    <row r="193" spans="1:11" x14ac:dyDescent="0.3">
      <c r="A193" t="s">
        <v>299</v>
      </c>
      <c r="B193" s="3">
        <v>45947</v>
      </c>
      <c r="C193" t="s">
        <v>31</v>
      </c>
      <c r="D193">
        <v>10</v>
      </c>
      <c r="E193" t="s">
        <v>10</v>
      </c>
      <c r="F193" t="s">
        <v>185</v>
      </c>
      <c r="G193" t="s">
        <v>180</v>
      </c>
      <c r="H193" t="s">
        <v>14</v>
      </c>
      <c r="I193" s="4">
        <v>1785</v>
      </c>
      <c r="J193" t="s">
        <v>46</v>
      </c>
      <c r="K193" t="s">
        <v>288</v>
      </c>
    </row>
    <row r="194" spans="1:11" x14ac:dyDescent="0.3">
      <c r="A194" t="s">
        <v>300</v>
      </c>
      <c r="B194" s="3">
        <v>45948</v>
      </c>
      <c r="C194" t="s">
        <v>31</v>
      </c>
      <c r="D194">
        <v>10</v>
      </c>
      <c r="E194" t="s">
        <v>25</v>
      </c>
      <c r="F194" t="s">
        <v>103</v>
      </c>
      <c r="G194" t="s">
        <v>104</v>
      </c>
      <c r="H194" t="s">
        <v>20</v>
      </c>
      <c r="I194" s="4">
        <v>1442</v>
      </c>
      <c r="J194" t="s">
        <v>46</v>
      </c>
      <c r="K194" t="s">
        <v>288</v>
      </c>
    </row>
    <row r="195" spans="1:11" x14ac:dyDescent="0.3">
      <c r="A195" t="s">
        <v>301</v>
      </c>
      <c r="B195" s="3">
        <v>45948</v>
      </c>
      <c r="C195" t="s">
        <v>31</v>
      </c>
      <c r="D195">
        <v>10</v>
      </c>
      <c r="E195" t="s">
        <v>13</v>
      </c>
      <c r="F195" t="s">
        <v>157</v>
      </c>
      <c r="G195" t="s">
        <v>56</v>
      </c>
      <c r="H195" t="s">
        <v>11</v>
      </c>
      <c r="I195" s="4">
        <v>1538</v>
      </c>
      <c r="J195" t="s">
        <v>46</v>
      </c>
      <c r="K195" t="s">
        <v>288</v>
      </c>
    </row>
    <row r="196" spans="1:11" x14ac:dyDescent="0.3">
      <c r="A196" t="s">
        <v>302</v>
      </c>
      <c r="B196" s="3">
        <v>45950</v>
      </c>
      <c r="C196" t="s">
        <v>31</v>
      </c>
      <c r="D196">
        <v>10</v>
      </c>
      <c r="E196" t="s">
        <v>27</v>
      </c>
      <c r="F196" t="s">
        <v>49</v>
      </c>
      <c r="G196" t="s">
        <v>50</v>
      </c>
      <c r="H196" t="s">
        <v>17</v>
      </c>
      <c r="I196" s="4">
        <v>1782</v>
      </c>
      <c r="J196" t="s">
        <v>46</v>
      </c>
      <c r="K196" t="s">
        <v>288</v>
      </c>
    </row>
    <row r="197" spans="1:11" x14ac:dyDescent="0.3">
      <c r="A197" t="s">
        <v>303</v>
      </c>
      <c r="B197" s="3">
        <v>45956</v>
      </c>
      <c r="C197" t="s">
        <v>31</v>
      </c>
      <c r="D197">
        <v>10</v>
      </c>
      <c r="E197" t="s">
        <v>16</v>
      </c>
      <c r="F197" t="s">
        <v>139</v>
      </c>
      <c r="G197" t="s">
        <v>45</v>
      </c>
      <c r="H197" t="s">
        <v>20</v>
      </c>
      <c r="I197" s="4">
        <v>1194</v>
      </c>
      <c r="J197" t="s">
        <v>46</v>
      </c>
      <c r="K197" t="s">
        <v>288</v>
      </c>
    </row>
    <row r="198" spans="1:11" x14ac:dyDescent="0.3">
      <c r="A198" t="s">
        <v>304</v>
      </c>
      <c r="B198" s="3">
        <v>45957</v>
      </c>
      <c r="C198" t="s">
        <v>31</v>
      </c>
      <c r="D198">
        <v>10</v>
      </c>
      <c r="E198" t="s">
        <v>10</v>
      </c>
      <c r="F198" t="s">
        <v>185</v>
      </c>
      <c r="G198" t="s">
        <v>87</v>
      </c>
      <c r="H198" t="s">
        <v>17</v>
      </c>
      <c r="I198" s="4">
        <v>1056</v>
      </c>
      <c r="J198" t="s">
        <v>46</v>
      </c>
      <c r="K198" t="s">
        <v>288</v>
      </c>
    </row>
    <row r="199" spans="1:11" x14ac:dyDescent="0.3">
      <c r="A199" t="s">
        <v>305</v>
      </c>
      <c r="B199" s="3">
        <v>45961</v>
      </c>
      <c r="C199" t="s">
        <v>31</v>
      </c>
      <c r="D199">
        <v>10</v>
      </c>
      <c r="E199" t="s">
        <v>13</v>
      </c>
      <c r="F199" t="s">
        <v>123</v>
      </c>
      <c r="G199" t="s">
        <v>89</v>
      </c>
      <c r="H199" t="s">
        <v>23</v>
      </c>
      <c r="I199" s="4">
        <v>1071</v>
      </c>
      <c r="J199" t="s">
        <v>46</v>
      </c>
      <c r="K199" t="s">
        <v>288</v>
      </c>
    </row>
    <row r="200" spans="1:11" x14ac:dyDescent="0.3">
      <c r="A200" t="s">
        <v>306</v>
      </c>
      <c r="B200" s="3">
        <v>45962</v>
      </c>
      <c r="C200" t="s">
        <v>32</v>
      </c>
      <c r="D200">
        <v>11</v>
      </c>
      <c r="E200" t="s">
        <v>13</v>
      </c>
      <c r="F200" t="s">
        <v>62</v>
      </c>
      <c r="G200" t="s">
        <v>63</v>
      </c>
      <c r="H200" t="s">
        <v>23</v>
      </c>
      <c r="I200" s="4">
        <v>866</v>
      </c>
      <c r="J200" t="s">
        <v>46</v>
      </c>
      <c r="K200" t="s">
        <v>307</v>
      </c>
    </row>
    <row r="201" spans="1:11" x14ac:dyDescent="0.3">
      <c r="A201" t="s">
        <v>308</v>
      </c>
      <c r="B201" s="3">
        <v>45963</v>
      </c>
      <c r="C201" t="s">
        <v>32</v>
      </c>
      <c r="D201">
        <v>11</v>
      </c>
      <c r="E201" t="s">
        <v>27</v>
      </c>
      <c r="F201" t="s">
        <v>100</v>
      </c>
      <c r="G201" t="s">
        <v>187</v>
      </c>
      <c r="H201" t="s">
        <v>23</v>
      </c>
      <c r="I201" s="4">
        <v>1384</v>
      </c>
      <c r="J201" t="s">
        <v>46</v>
      </c>
      <c r="K201" t="s">
        <v>307</v>
      </c>
    </row>
    <row r="202" spans="1:11" x14ac:dyDescent="0.3">
      <c r="A202" t="s">
        <v>309</v>
      </c>
      <c r="B202" s="3">
        <v>45963</v>
      </c>
      <c r="C202" t="s">
        <v>32</v>
      </c>
      <c r="D202">
        <v>11</v>
      </c>
      <c r="E202" t="s">
        <v>13</v>
      </c>
      <c r="F202" t="s">
        <v>123</v>
      </c>
      <c r="G202" t="s">
        <v>56</v>
      </c>
      <c r="H202" t="s">
        <v>23</v>
      </c>
      <c r="I202" s="4">
        <v>821</v>
      </c>
      <c r="J202" t="s">
        <v>46</v>
      </c>
      <c r="K202" t="s">
        <v>307</v>
      </c>
    </row>
    <row r="203" spans="1:11" x14ac:dyDescent="0.3">
      <c r="A203" t="s">
        <v>310</v>
      </c>
      <c r="B203" s="3">
        <v>45963</v>
      </c>
      <c r="C203" t="s">
        <v>32</v>
      </c>
      <c r="D203">
        <v>11</v>
      </c>
      <c r="E203" t="s">
        <v>13</v>
      </c>
      <c r="F203" t="s">
        <v>157</v>
      </c>
      <c r="G203" t="s">
        <v>89</v>
      </c>
      <c r="H203" t="s">
        <v>23</v>
      </c>
      <c r="I203" s="4">
        <v>358</v>
      </c>
      <c r="J203" t="s">
        <v>46</v>
      </c>
      <c r="K203" t="s">
        <v>307</v>
      </c>
    </row>
    <row r="204" spans="1:11" x14ac:dyDescent="0.3">
      <c r="A204" t="s">
        <v>311</v>
      </c>
      <c r="B204" s="3">
        <v>45966</v>
      </c>
      <c r="C204" t="s">
        <v>32</v>
      </c>
      <c r="D204">
        <v>11</v>
      </c>
      <c r="E204" t="s">
        <v>19</v>
      </c>
      <c r="F204" t="s">
        <v>81</v>
      </c>
      <c r="G204" t="s">
        <v>60</v>
      </c>
      <c r="H204" t="s">
        <v>20</v>
      </c>
      <c r="I204" s="4">
        <v>2097</v>
      </c>
      <c r="J204" t="s">
        <v>46</v>
      </c>
      <c r="K204" t="s">
        <v>307</v>
      </c>
    </row>
    <row r="205" spans="1:11" x14ac:dyDescent="0.3">
      <c r="A205" t="s">
        <v>312</v>
      </c>
      <c r="B205" s="3">
        <v>45968</v>
      </c>
      <c r="C205" t="s">
        <v>32</v>
      </c>
      <c r="D205">
        <v>11</v>
      </c>
      <c r="E205" t="s">
        <v>13</v>
      </c>
      <c r="F205" t="s">
        <v>62</v>
      </c>
      <c r="G205" t="s">
        <v>63</v>
      </c>
      <c r="H205" t="s">
        <v>23</v>
      </c>
      <c r="I205" s="4">
        <v>677</v>
      </c>
      <c r="J205" t="s">
        <v>46</v>
      </c>
      <c r="K205" t="s">
        <v>307</v>
      </c>
    </row>
    <row r="206" spans="1:11" x14ac:dyDescent="0.3">
      <c r="A206" t="s">
        <v>313</v>
      </c>
      <c r="B206" s="3">
        <v>45968</v>
      </c>
      <c r="C206" t="s">
        <v>32</v>
      </c>
      <c r="D206">
        <v>11</v>
      </c>
      <c r="E206" t="s">
        <v>29</v>
      </c>
      <c r="F206" t="s">
        <v>167</v>
      </c>
      <c r="G206" t="s">
        <v>146</v>
      </c>
      <c r="H206" t="s">
        <v>23</v>
      </c>
      <c r="I206" s="4">
        <v>809</v>
      </c>
      <c r="J206" t="s">
        <v>46</v>
      </c>
      <c r="K206" t="s">
        <v>307</v>
      </c>
    </row>
    <row r="207" spans="1:11" x14ac:dyDescent="0.3">
      <c r="A207" t="s">
        <v>314</v>
      </c>
      <c r="B207" s="3">
        <v>45968</v>
      </c>
      <c r="C207" t="s">
        <v>32</v>
      </c>
      <c r="D207">
        <v>11</v>
      </c>
      <c r="E207" t="s">
        <v>25</v>
      </c>
      <c r="F207" t="s">
        <v>103</v>
      </c>
      <c r="G207" t="s">
        <v>66</v>
      </c>
      <c r="H207" t="s">
        <v>23</v>
      </c>
      <c r="I207" s="4">
        <v>1403</v>
      </c>
      <c r="J207" t="s">
        <v>46</v>
      </c>
      <c r="K207" t="s">
        <v>307</v>
      </c>
    </row>
    <row r="208" spans="1:11" x14ac:dyDescent="0.3">
      <c r="A208" t="s">
        <v>315</v>
      </c>
      <c r="B208" s="3">
        <v>45971</v>
      </c>
      <c r="C208" t="s">
        <v>32</v>
      </c>
      <c r="D208">
        <v>11</v>
      </c>
      <c r="E208" t="s">
        <v>27</v>
      </c>
      <c r="F208" t="s">
        <v>97</v>
      </c>
      <c r="G208" t="s">
        <v>50</v>
      </c>
      <c r="H208" t="s">
        <v>20</v>
      </c>
      <c r="I208" s="4">
        <v>1926</v>
      </c>
      <c r="J208" t="s">
        <v>46</v>
      </c>
      <c r="K208" t="s">
        <v>307</v>
      </c>
    </row>
    <row r="209" spans="1:11" x14ac:dyDescent="0.3">
      <c r="A209" t="s">
        <v>316</v>
      </c>
      <c r="B209" s="3">
        <v>45971</v>
      </c>
      <c r="C209" t="s">
        <v>32</v>
      </c>
      <c r="D209">
        <v>11</v>
      </c>
      <c r="E209" t="s">
        <v>10</v>
      </c>
      <c r="F209" t="s">
        <v>84</v>
      </c>
      <c r="G209" t="s">
        <v>87</v>
      </c>
      <c r="H209" t="s">
        <v>14</v>
      </c>
      <c r="I209" s="4">
        <v>1438</v>
      </c>
      <c r="J209" t="s">
        <v>46</v>
      </c>
      <c r="K209" t="s">
        <v>307</v>
      </c>
    </row>
    <row r="210" spans="1:11" x14ac:dyDescent="0.3">
      <c r="A210" t="s">
        <v>317</v>
      </c>
      <c r="B210" s="3">
        <v>45973</v>
      </c>
      <c r="C210" t="s">
        <v>32</v>
      </c>
      <c r="D210">
        <v>11</v>
      </c>
      <c r="E210" t="s">
        <v>22</v>
      </c>
      <c r="F210" t="s">
        <v>76</v>
      </c>
      <c r="G210" t="s">
        <v>77</v>
      </c>
      <c r="H210" t="s">
        <v>17</v>
      </c>
      <c r="I210" s="4">
        <v>2394</v>
      </c>
      <c r="J210" t="s">
        <v>46</v>
      </c>
      <c r="K210" t="s">
        <v>307</v>
      </c>
    </row>
    <row r="211" spans="1:11" x14ac:dyDescent="0.3">
      <c r="A211" t="s">
        <v>318</v>
      </c>
      <c r="B211" s="3">
        <v>45973</v>
      </c>
      <c r="C211" t="s">
        <v>32</v>
      </c>
      <c r="D211">
        <v>11</v>
      </c>
      <c r="E211" t="s">
        <v>27</v>
      </c>
      <c r="F211" t="s">
        <v>100</v>
      </c>
      <c r="G211" t="s">
        <v>79</v>
      </c>
      <c r="H211" t="s">
        <v>17</v>
      </c>
      <c r="I211" s="4">
        <v>234</v>
      </c>
      <c r="J211" t="s">
        <v>46</v>
      </c>
      <c r="K211" t="s">
        <v>307</v>
      </c>
    </row>
    <row r="212" spans="1:11" x14ac:dyDescent="0.3">
      <c r="A212" t="s">
        <v>319</v>
      </c>
      <c r="B212" s="3">
        <v>45976</v>
      </c>
      <c r="C212" t="s">
        <v>32</v>
      </c>
      <c r="D212">
        <v>11</v>
      </c>
      <c r="E212" t="s">
        <v>16</v>
      </c>
      <c r="F212" t="s">
        <v>139</v>
      </c>
      <c r="G212" t="s">
        <v>169</v>
      </c>
      <c r="H212" t="s">
        <v>11</v>
      </c>
      <c r="I212" s="4">
        <v>508</v>
      </c>
      <c r="J212" t="s">
        <v>46</v>
      </c>
      <c r="K212" t="s">
        <v>307</v>
      </c>
    </row>
    <row r="213" spans="1:11" x14ac:dyDescent="0.3">
      <c r="A213" t="s">
        <v>320</v>
      </c>
      <c r="B213" s="3">
        <v>45976</v>
      </c>
      <c r="C213" t="s">
        <v>32</v>
      </c>
      <c r="D213">
        <v>11</v>
      </c>
      <c r="E213" t="s">
        <v>29</v>
      </c>
      <c r="F213" t="s">
        <v>131</v>
      </c>
      <c r="G213" t="s">
        <v>146</v>
      </c>
      <c r="H213" t="s">
        <v>14</v>
      </c>
      <c r="I213" s="4">
        <v>1155</v>
      </c>
      <c r="J213" t="s">
        <v>46</v>
      </c>
      <c r="K213" t="s">
        <v>307</v>
      </c>
    </row>
    <row r="214" spans="1:11" x14ac:dyDescent="0.3">
      <c r="A214" t="s">
        <v>321</v>
      </c>
      <c r="B214" s="3">
        <v>45977</v>
      </c>
      <c r="C214" t="s">
        <v>32</v>
      </c>
      <c r="D214">
        <v>11</v>
      </c>
      <c r="E214" t="s">
        <v>27</v>
      </c>
      <c r="F214" t="s">
        <v>97</v>
      </c>
      <c r="G214" t="s">
        <v>187</v>
      </c>
      <c r="H214" t="s">
        <v>23</v>
      </c>
      <c r="I214" s="4">
        <v>428</v>
      </c>
      <c r="J214" t="s">
        <v>46</v>
      </c>
      <c r="K214" t="s">
        <v>307</v>
      </c>
    </row>
    <row r="215" spans="1:11" x14ac:dyDescent="0.3">
      <c r="A215" t="s">
        <v>322</v>
      </c>
      <c r="B215" s="3">
        <v>45978</v>
      </c>
      <c r="C215" t="s">
        <v>32</v>
      </c>
      <c r="D215">
        <v>11</v>
      </c>
      <c r="E215" t="s">
        <v>19</v>
      </c>
      <c r="F215" t="s">
        <v>81</v>
      </c>
      <c r="G215" t="s">
        <v>82</v>
      </c>
      <c r="H215" t="s">
        <v>17</v>
      </c>
      <c r="I215" s="4">
        <v>3903</v>
      </c>
      <c r="J215" t="s">
        <v>46</v>
      </c>
      <c r="K215" t="s">
        <v>307</v>
      </c>
    </row>
    <row r="216" spans="1:11" x14ac:dyDescent="0.3">
      <c r="A216" t="s">
        <v>323</v>
      </c>
      <c r="B216" s="3">
        <v>45982</v>
      </c>
      <c r="C216" t="s">
        <v>32</v>
      </c>
      <c r="D216">
        <v>11</v>
      </c>
      <c r="E216" t="s">
        <v>27</v>
      </c>
      <c r="F216" t="s">
        <v>100</v>
      </c>
      <c r="G216" t="s">
        <v>50</v>
      </c>
      <c r="H216" t="s">
        <v>17</v>
      </c>
      <c r="I216" s="4">
        <v>280</v>
      </c>
      <c r="J216" t="s">
        <v>46</v>
      </c>
      <c r="K216" t="s">
        <v>307</v>
      </c>
    </row>
    <row r="217" spans="1:11" x14ac:dyDescent="0.3">
      <c r="A217" t="s">
        <v>324</v>
      </c>
      <c r="B217" s="3">
        <v>45983</v>
      </c>
      <c r="C217" t="s">
        <v>32</v>
      </c>
      <c r="D217">
        <v>11</v>
      </c>
      <c r="E217" t="s">
        <v>29</v>
      </c>
      <c r="F217" t="s">
        <v>73</v>
      </c>
      <c r="G217" t="s">
        <v>74</v>
      </c>
      <c r="H217" t="s">
        <v>20</v>
      </c>
      <c r="I217" s="4">
        <v>1212</v>
      </c>
      <c r="J217" t="s">
        <v>46</v>
      </c>
      <c r="K217" t="s">
        <v>307</v>
      </c>
    </row>
    <row r="218" spans="1:11" x14ac:dyDescent="0.3">
      <c r="A218" t="s">
        <v>325</v>
      </c>
      <c r="B218" s="3">
        <v>45985</v>
      </c>
      <c r="C218" t="s">
        <v>32</v>
      </c>
      <c r="D218">
        <v>11</v>
      </c>
      <c r="E218" t="s">
        <v>13</v>
      </c>
      <c r="F218" t="s">
        <v>157</v>
      </c>
      <c r="G218" t="s">
        <v>70</v>
      </c>
      <c r="H218" t="s">
        <v>14</v>
      </c>
      <c r="I218" s="4">
        <v>1558</v>
      </c>
      <c r="J218" t="s">
        <v>46</v>
      </c>
      <c r="K218" t="s">
        <v>307</v>
      </c>
    </row>
    <row r="219" spans="1:11" x14ac:dyDescent="0.3">
      <c r="A219" t="s">
        <v>326</v>
      </c>
      <c r="B219" s="3">
        <v>45985</v>
      </c>
      <c r="C219" t="s">
        <v>32</v>
      </c>
      <c r="D219">
        <v>11</v>
      </c>
      <c r="E219" t="s">
        <v>19</v>
      </c>
      <c r="F219" t="s">
        <v>59</v>
      </c>
      <c r="G219" t="s">
        <v>82</v>
      </c>
      <c r="H219" t="s">
        <v>14</v>
      </c>
      <c r="I219" s="4">
        <v>2956</v>
      </c>
      <c r="J219" t="s">
        <v>46</v>
      </c>
      <c r="K219" t="s">
        <v>307</v>
      </c>
    </row>
    <row r="220" spans="1:11" x14ac:dyDescent="0.3">
      <c r="A220" t="s">
        <v>327</v>
      </c>
      <c r="B220" s="3">
        <v>45986</v>
      </c>
      <c r="C220" t="s">
        <v>32</v>
      </c>
      <c r="D220">
        <v>11</v>
      </c>
      <c r="E220" t="s">
        <v>27</v>
      </c>
      <c r="F220" t="s">
        <v>97</v>
      </c>
      <c r="G220" t="s">
        <v>187</v>
      </c>
      <c r="H220" t="s">
        <v>11</v>
      </c>
      <c r="I220" s="4">
        <v>2296</v>
      </c>
      <c r="J220" t="s">
        <v>46</v>
      </c>
      <c r="K220" t="s">
        <v>307</v>
      </c>
    </row>
    <row r="221" spans="1:11" x14ac:dyDescent="0.3">
      <c r="A221" t="s">
        <v>328</v>
      </c>
      <c r="B221" s="3">
        <v>45987</v>
      </c>
      <c r="C221" t="s">
        <v>32</v>
      </c>
      <c r="D221">
        <v>11</v>
      </c>
      <c r="E221" t="s">
        <v>27</v>
      </c>
      <c r="F221" t="s">
        <v>49</v>
      </c>
      <c r="G221" t="s">
        <v>50</v>
      </c>
      <c r="H221" t="s">
        <v>11</v>
      </c>
      <c r="I221" s="4">
        <v>1991</v>
      </c>
      <c r="J221" t="s">
        <v>46</v>
      </c>
      <c r="K221" t="s">
        <v>307</v>
      </c>
    </row>
    <row r="222" spans="1:11" x14ac:dyDescent="0.3">
      <c r="A222" t="s">
        <v>329</v>
      </c>
      <c r="B222" s="3">
        <v>45987</v>
      </c>
      <c r="C222" t="s">
        <v>32</v>
      </c>
      <c r="D222">
        <v>11</v>
      </c>
      <c r="E222" t="s">
        <v>29</v>
      </c>
      <c r="F222" t="s">
        <v>73</v>
      </c>
      <c r="G222" t="s">
        <v>146</v>
      </c>
      <c r="H222" t="s">
        <v>14</v>
      </c>
      <c r="I222" s="4">
        <v>792</v>
      </c>
      <c r="J222" t="s">
        <v>46</v>
      </c>
      <c r="K222" t="s">
        <v>307</v>
      </c>
    </row>
    <row r="223" spans="1:11" x14ac:dyDescent="0.3">
      <c r="A223" t="s">
        <v>330</v>
      </c>
      <c r="B223" s="3">
        <v>45989</v>
      </c>
      <c r="C223" t="s">
        <v>32</v>
      </c>
      <c r="D223">
        <v>11</v>
      </c>
      <c r="E223" t="s">
        <v>16</v>
      </c>
      <c r="F223" t="s">
        <v>95</v>
      </c>
      <c r="G223" t="s">
        <v>140</v>
      </c>
      <c r="H223" t="s">
        <v>11</v>
      </c>
      <c r="I223" s="4">
        <v>1942</v>
      </c>
      <c r="J223" t="s">
        <v>46</v>
      </c>
      <c r="K223" t="s">
        <v>307</v>
      </c>
    </row>
    <row r="224" spans="1:11" x14ac:dyDescent="0.3">
      <c r="A224" t="s">
        <v>331</v>
      </c>
      <c r="B224" s="3">
        <v>45991</v>
      </c>
      <c r="C224" t="s">
        <v>32</v>
      </c>
      <c r="D224">
        <v>11</v>
      </c>
      <c r="E224" t="s">
        <v>10</v>
      </c>
      <c r="F224" t="s">
        <v>179</v>
      </c>
      <c r="G224" t="s">
        <v>85</v>
      </c>
      <c r="H224" t="s">
        <v>11</v>
      </c>
      <c r="I224" s="4">
        <v>586</v>
      </c>
      <c r="J224" t="s">
        <v>46</v>
      </c>
      <c r="K224" t="s">
        <v>307</v>
      </c>
    </row>
    <row r="225" spans="1:11" x14ac:dyDescent="0.3">
      <c r="A225" t="s">
        <v>332</v>
      </c>
      <c r="B225" s="3">
        <v>45993</v>
      </c>
      <c r="C225" t="s">
        <v>33</v>
      </c>
      <c r="D225">
        <v>12</v>
      </c>
      <c r="E225" t="s">
        <v>16</v>
      </c>
      <c r="F225" t="s">
        <v>151</v>
      </c>
      <c r="G225" t="s">
        <v>45</v>
      </c>
      <c r="H225" t="s">
        <v>17</v>
      </c>
      <c r="I225" s="4">
        <v>11000</v>
      </c>
      <c r="J225" t="s">
        <v>46</v>
      </c>
      <c r="K225" t="s">
        <v>333</v>
      </c>
    </row>
    <row r="226" spans="1:11" x14ac:dyDescent="0.3">
      <c r="A226" t="s">
        <v>334</v>
      </c>
      <c r="B226" s="3">
        <v>45996</v>
      </c>
      <c r="C226" t="s">
        <v>33</v>
      </c>
      <c r="D226">
        <v>12</v>
      </c>
      <c r="E226" t="s">
        <v>29</v>
      </c>
      <c r="F226" t="s">
        <v>73</v>
      </c>
      <c r="G226" t="s">
        <v>74</v>
      </c>
      <c r="H226" t="s">
        <v>14</v>
      </c>
      <c r="I226" s="4">
        <v>638</v>
      </c>
      <c r="J226" t="s">
        <v>46</v>
      </c>
      <c r="K226" t="s">
        <v>333</v>
      </c>
    </row>
    <row r="227" spans="1:11" x14ac:dyDescent="0.3">
      <c r="A227" t="s">
        <v>335</v>
      </c>
      <c r="B227" s="3">
        <v>45997</v>
      </c>
      <c r="C227" t="s">
        <v>33</v>
      </c>
      <c r="D227">
        <v>12</v>
      </c>
      <c r="E227" t="s">
        <v>19</v>
      </c>
      <c r="F227" t="s">
        <v>59</v>
      </c>
      <c r="G227" t="s">
        <v>82</v>
      </c>
      <c r="H227" t="s">
        <v>11</v>
      </c>
      <c r="I227" s="4">
        <v>5191</v>
      </c>
      <c r="J227" t="s">
        <v>46</v>
      </c>
      <c r="K227" t="s">
        <v>333</v>
      </c>
    </row>
    <row r="228" spans="1:11" x14ac:dyDescent="0.3">
      <c r="A228" t="s">
        <v>336</v>
      </c>
      <c r="B228" s="3">
        <v>45998</v>
      </c>
      <c r="C228" t="s">
        <v>33</v>
      </c>
      <c r="D228">
        <v>12</v>
      </c>
      <c r="E228" t="s">
        <v>27</v>
      </c>
      <c r="F228" t="s">
        <v>97</v>
      </c>
      <c r="G228" t="s">
        <v>187</v>
      </c>
      <c r="H228" t="s">
        <v>23</v>
      </c>
      <c r="I228" s="4">
        <v>310</v>
      </c>
      <c r="J228" t="s">
        <v>46</v>
      </c>
      <c r="K228" t="s">
        <v>333</v>
      </c>
    </row>
    <row r="229" spans="1:11" x14ac:dyDescent="0.3">
      <c r="A229" t="s">
        <v>337</v>
      </c>
      <c r="B229" s="3">
        <v>46000</v>
      </c>
      <c r="C229" t="s">
        <v>33</v>
      </c>
      <c r="D229">
        <v>12</v>
      </c>
      <c r="E229" t="s">
        <v>19</v>
      </c>
      <c r="F229" t="s">
        <v>81</v>
      </c>
      <c r="G229" t="s">
        <v>110</v>
      </c>
      <c r="H229" t="s">
        <v>11</v>
      </c>
      <c r="I229" s="4">
        <v>1604</v>
      </c>
      <c r="J229" t="s">
        <v>46</v>
      </c>
      <c r="K229" t="s">
        <v>333</v>
      </c>
    </row>
    <row r="230" spans="1:11" x14ac:dyDescent="0.3">
      <c r="A230" t="s">
        <v>338</v>
      </c>
      <c r="B230" s="3">
        <v>46001</v>
      </c>
      <c r="C230" t="s">
        <v>33</v>
      </c>
      <c r="D230">
        <v>12</v>
      </c>
      <c r="E230" t="s">
        <v>22</v>
      </c>
      <c r="F230" t="s">
        <v>52</v>
      </c>
      <c r="G230" t="s">
        <v>134</v>
      </c>
      <c r="H230" t="s">
        <v>14</v>
      </c>
      <c r="I230" s="4">
        <v>442</v>
      </c>
      <c r="J230" t="s">
        <v>46</v>
      </c>
      <c r="K230" t="s">
        <v>333</v>
      </c>
    </row>
    <row r="231" spans="1:11" x14ac:dyDescent="0.3">
      <c r="A231" t="s">
        <v>339</v>
      </c>
      <c r="B231" s="3">
        <v>46001</v>
      </c>
      <c r="C231" t="s">
        <v>33</v>
      </c>
      <c r="D231">
        <v>12</v>
      </c>
      <c r="E231" t="s">
        <v>22</v>
      </c>
      <c r="F231" t="s">
        <v>76</v>
      </c>
      <c r="G231" t="s">
        <v>77</v>
      </c>
      <c r="H231" t="s">
        <v>11</v>
      </c>
      <c r="I231" s="4">
        <v>1445</v>
      </c>
      <c r="J231" t="s">
        <v>46</v>
      </c>
      <c r="K231" t="s">
        <v>333</v>
      </c>
    </row>
    <row r="232" spans="1:11" x14ac:dyDescent="0.3">
      <c r="A232" t="s">
        <v>340</v>
      </c>
      <c r="B232" s="3">
        <v>46002</v>
      </c>
      <c r="C232" t="s">
        <v>33</v>
      </c>
      <c r="D232">
        <v>12</v>
      </c>
      <c r="E232" t="s">
        <v>22</v>
      </c>
      <c r="F232" t="s">
        <v>52</v>
      </c>
      <c r="G232" t="s">
        <v>134</v>
      </c>
      <c r="H232" t="s">
        <v>17</v>
      </c>
      <c r="I232" s="4">
        <v>1710</v>
      </c>
      <c r="J232" t="s">
        <v>46</v>
      </c>
      <c r="K232" t="s">
        <v>333</v>
      </c>
    </row>
    <row r="233" spans="1:11" x14ac:dyDescent="0.3">
      <c r="A233" t="s">
        <v>341</v>
      </c>
      <c r="B233" s="3">
        <v>46004</v>
      </c>
      <c r="C233" t="s">
        <v>33</v>
      </c>
      <c r="D233">
        <v>12</v>
      </c>
      <c r="E233" t="s">
        <v>27</v>
      </c>
      <c r="F233" t="s">
        <v>97</v>
      </c>
      <c r="G233" t="s">
        <v>50</v>
      </c>
      <c r="H233" t="s">
        <v>20</v>
      </c>
      <c r="I233" s="4">
        <v>1598</v>
      </c>
      <c r="J233" t="s">
        <v>46</v>
      </c>
      <c r="K233" t="s">
        <v>333</v>
      </c>
    </row>
    <row r="234" spans="1:11" x14ac:dyDescent="0.3">
      <c r="A234" t="s">
        <v>342</v>
      </c>
      <c r="B234" s="3">
        <v>46010</v>
      </c>
      <c r="C234" t="s">
        <v>33</v>
      </c>
      <c r="D234">
        <v>12</v>
      </c>
      <c r="E234" t="s">
        <v>29</v>
      </c>
      <c r="F234" t="s">
        <v>167</v>
      </c>
      <c r="G234" t="s">
        <v>146</v>
      </c>
      <c r="H234" t="s">
        <v>17</v>
      </c>
      <c r="I234" s="4">
        <v>316</v>
      </c>
      <c r="J234" t="s">
        <v>46</v>
      </c>
      <c r="K234" t="s">
        <v>333</v>
      </c>
    </row>
    <row r="235" spans="1:11" x14ac:dyDescent="0.3">
      <c r="A235" t="s">
        <v>343</v>
      </c>
      <c r="B235" s="3">
        <v>46011</v>
      </c>
      <c r="C235" t="s">
        <v>33</v>
      </c>
      <c r="D235">
        <v>12</v>
      </c>
      <c r="E235" t="s">
        <v>22</v>
      </c>
      <c r="F235" t="s">
        <v>76</v>
      </c>
      <c r="G235" t="s">
        <v>77</v>
      </c>
      <c r="H235" t="s">
        <v>20</v>
      </c>
      <c r="I235" s="4">
        <v>1387</v>
      </c>
      <c r="J235" t="s">
        <v>46</v>
      </c>
      <c r="K235" t="s">
        <v>333</v>
      </c>
    </row>
    <row r="236" spans="1:11" x14ac:dyDescent="0.3">
      <c r="A236" t="s">
        <v>344</v>
      </c>
      <c r="B236" s="3">
        <v>46011</v>
      </c>
      <c r="C236" t="s">
        <v>33</v>
      </c>
      <c r="D236">
        <v>12</v>
      </c>
      <c r="E236" t="s">
        <v>19</v>
      </c>
      <c r="F236" t="s">
        <v>59</v>
      </c>
      <c r="G236" t="s">
        <v>60</v>
      </c>
      <c r="H236" t="s">
        <v>17</v>
      </c>
      <c r="I236" s="4">
        <v>2853</v>
      </c>
      <c r="J236" t="s">
        <v>46</v>
      </c>
      <c r="K236" t="s">
        <v>333</v>
      </c>
    </row>
    <row r="237" spans="1:11" x14ac:dyDescent="0.3">
      <c r="A237" t="s">
        <v>345</v>
      </c>
      <c r="B237" s="3">
        <v>46016</v>
      </c>
      <c r="C237" t="s">
        <v>33</v>
      </c>
      <c r="D237">
        <v>12</v>
      </c>
      <c r="E237" t="s">
        <v>22</v>
      </c>
      <c r="F237" t="s">
        <v>52</v>
      </c>
      <c r="G237" t="s">
        <v>77</v>
      </c>
      <c r="H237" t="s">
        <v>14</v>
      </c>
      <c r="I237" s="4">
        <v>1822</v>
      </c>
      <c r="J237" t="s">
        <v>46</v>
      </c>
      <c r="K237" t="s">
        <v>333</v>
      </c>
    </row>
    <row r="238" spans="1:11" x14ac:dyDescent="0.3">
      <c r="A238" t="s">
        <v>346</v>
      </c>
      <c r="B238" s="3">
        <v>46017</v>
      </c>
      <c r="C238" t="s">
        <v>33</v>
      </c>
      <c r="D238">
        <v>12</v>
      </c>
      <c r="E238" t="s">
        <v>22</v>
      </c>
      <c r="F238" t="s">
        <v>76</v>
      </c>
      <c r="G238" t="s">
        <v>77</v>
      </c>
      <c r="H238" t="s">
        <v>14</v>
      </c>
      <c r="I238" s="4">
        <v>1587</v>
      </c>
      <c r="J238" t="s">
        <v>46</v>
      </c>
      <c r="K238" t="s">
        <v>333</v>
      </c>
    </row>
    <row r="239" spans="1:11" x14ac:dyDescent="0.3">
      <c r="A239" t="s">
        <v>347</v>
      </c>
      <c r="B239" s="3">
        <v>46017</v>
      </c>
      <c r="C239" t="s">
        <v>33</v>
      </c>
      <c r="D239">
        <v>12</v>
      </c>
      <c r="E239" t="s">
        <v>22</v>
      </c>
      <c r="F239" t="s">
        <v>52</v>
      </c>
      <c r="G239" t="s">
        <v>134</v>
      </c>
      <c r="H239" t="s">
        <v>14</v>
      </c>
      <c r="I239" s="4">
        <v>191</v>
      </c>
      <c r="J239" t="s">
        <v>46</v>
      </c>
      <c r="K239" t="s">
        <v>333</v>
      </c>
    </row>
    <row r="240" spans="1:11" x14ac:dyDescent="0.3">
      <c r="A240" t="s">
        <v>348</v>
      </c>
      <c r="B240" s="3">
        <v>46019</v>
      </c>
      <c r="C240" t="s">
        <v>33</v>
      </c>
      <c r="D240">
        <v>12</v>
      </c>
      <c r="E240" t="s">
        <v>22</v>
      </c>
      <c r="F240" t="s">
        <v>52</v>
      </c>
      <c r="G240" t="s">
        <v>77</v>
      </c>
      <c r="H240" t="s">
        <v>14</v>
      </c>
      <c r="I240" s="4">
        <v>2009</v>
      </c>
      <c r="J240" t="s">
        <v>46</v>
      </c>
      <c r="K240" t="s">
        <v>333</v>
      </c>
    </row>
    <row r="241" spans="1:11" x14ac:dyDescent="0.3">
      <c r="A241" t="s">
        <v>349</v>
      </c>
      <c r="B241" s="3">
        <v>46019</v>
      </c>
      <c r="C241" t="s">
        <v>33</v>
      </c>
      <c r="D241">
        <v>12</v>
      </c>
      <c r="E241" t="s">
        <v>22</v>
      </c>
      <c r="F241" t="s">
        <v>76</v>
      </c>
      <c r="G241" t="s">
        <v>53</v>
      </c>
      <c r="H241" t="s">
        <v>14</v>
      </c>
      <c r="I241" s="4">
        <v>2126</v>
      </c>
      <c r="J241" t="s">
        <v>46</v>
      </c>
      <c r="K241" t="s">
        <v>333</v>
      </c>
    </row>
  </sheetData>
  <autoFilter ref="A1:K24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24" customWidth="1"/>
    <col min="2" max="2" width="22" customWidth="1"/>
    <col min="3" max="3" width="18" customWidth="1"/>
    <col min="4" max="4" width="22" customWidth="1"/>
  </cols>
  <sheetData>
    <row r="1" spans="1:4" x14ac:dyDescent="0.3">
      <c r="A1" s="1" t="s">
        <v>7</v>
      </c>
      <c r="B1" s="1" t="s">
        <v>350</v>
      </c>
      <c r="C1" s="1" t="s">
        <v>351</v>
      </c>
      <c r="D1" s="1" t="s">
        <v>352</v>
      </c>
    </row>
    <row r="2" spans="1:4" x14ac:dyDescent="0.3">
      <c r="A2" t="s">
        <v>10</v>
      </c>
      <c r="B2" s="4">
        <f>SUMIF(Transactions!$E:$E,A2,Transactions!$I:$I)</f>
        <v>28582</v>
      </c>
      <c r="C2" s="5">
        <f>B2/SUM(Transactions!$I:$I)</f>
        <v>6.6045997887969984E-2</v>
      </c>
      <c r="D2">
        <f>COUNTIF(Transactions!$E:$E,A2)</f>
        <v>30</v>
      </c>
    </row>
    <row r="3" spans="1:4" x14ac:dyDescent="0.3">
      <c r="A3" t="s">
        <v>13</v>
      </c>
      <c r="B3" s="4">
        <f>SUMIF(Transactions!$E:$E,A3,Transactions!$I:$I)</f>
        <v>24744</v>
      </c>
      <c r="C3" s="5">
        <f>B3/SUM(Transactions!$I:$I)</f>
        <v>5.7177320402348651E-2</v>
      </c>
      <c r="D3">
        <f>COUNTIF(Transactions!$E:$E,A3)</f>
        <v>29</v>
      </c>
    </row>
    <row r="4" spans="1:4" x14ac:dyDescent="0.3">
      <c r="A4" t="s">
        <v>16</v>
      </c>
      <c r="B4" s="4">
        <f>SUMIF(Transactions!$E:$E,A4,Transactions!$I:$I)</f>
        <v>139658</v>
      </c>
      <c r="C4" s="5">
        <f>B4/SUM(Transactions!$I:$I)</f>
        <v>0.32271541435302326</v>
      </c>
      <c r="D4">
        <f>COUNTIF(Transactions!$E:$E,A4)</f>
        <v>32</v>
      </c>
    </row>
    <row r="5" spans="1:4" x14ac:dyDescent="0.3">
      <c r="A5" t="s">
        <v>19</v>
      </c>
      <c r="B5" s="4">
        <f>SUMIF(Transactions!$E:$E,A5,Transactions!$I:$I)</f>
        <v>90587</v>
      </c>
      <c r="C5" s="5">
        <f>B5/SUM(Transactions!$I:$I)</f>
        <v>0.20932435836112015</v>
      </c>
      <c r="D5">
        <f>COUNTIF(Transactions!$E:$E,A5)</f>
        <v>30</v>
      </c>
    </row>
    <row r="6" spans="1:4" x14ac:dyDescent="0.3">
      <c r="A6" t="s">
        <v>22</v>
      </c>
      <c r="B6" s="4">
        <f>SUMIF(Transactions!$E:$E,A6,Transactions!$I:$I)</f>
        <v>47989</v>
      </c>
      <c r="C6" s="5">
        <f>B6/SUM(Transactions!$I:$I)</f>
        <v>0.11089081913952108</v>
      </c>
      <c r="D6">
        <f>COUNTIF(Transactions!$E:$E,A6)</f>
        <v>35</v>
      </c>
    </row>
    <row r="7" spans="1:4" x14ac:dyDescent="0.3">
      <c r="A7" t="s">
        <v>25</v>
      </c>
      <c r="B7" s="4">
        <f>SUMIF(Transactions!$E:$E,A7,Transactions!$I:$I)</f>
        <v>23678</v>
      </c>
      <c r="C7" s="5">
        <f>B7/SUM(Transactions!$I:$I)</f>
        <v>5.4714055629114591E-2</v>
      </c>
      <c r="D7">
        <f>COUNTIF(Transactions!$E:$E,A7)</f>
        <v>27</v>
      </c>
    </row>
    <row r="8" spans="1:4" x14ac:dyDescent="0.3">
      <c r="A8" t="s">
        <v>27</v>
      </c>
      <c r="B8" s="4">
        <f>SUMIF(Transactions!$E:$E,A8,Transactions!$I:$I)</f>
        <v>50051</v>
      </c>
      <c r="C8" s="5">
        <f>B8/SUM(Transactions!$I:$I)</f>
        <v>0.1156555958397168</v>
      </c>
      <c r="D8">
        <f>COUNTIF(Transactions!$E:$E,A8)</f>
        <v>34</v>
      </c>
    </row>
    <row r="9" spans="1:4" x14ac:dyDescent="0.3">
      <c r="A9" t="s">
        <v>29</v>
      </c>
      <c r="B9" s="4">
        <f>SUMIF(Transactions!$E:$E,A9,Transactions!$I:$I)</f>
        <v>27470</v>
      </c>
      <c r="C9" s="5">
        <f>B9/SUM(Transactions!$I:$I)</f>
        <v>6.3476438387185474E-2</v>
      </c>
      <c r="D9">
        <f>COUNTIF(Transactions!$E:$E,A9)</f>
        <v>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8" customWidth="1"/>
    <col min="3" max="4" width="22" customWidth="1"/>
  </cols>
  <sheetData>
    <row r="1" spans="1:4" x14ac:dyDescent="0.3">
      <c r="A1" s="1" t="s">
        <v>37</v>
      </c>
      <c r="B1" s="1" t="s">
        <v>5</v>
      </c>
      <c r="C1" s="1" t="s">
        <v>350</v>
      </c>
      <c r="D1" s="1" t="s">
        <v>352</v>
      </c>
    </row>
    <row r="2" spans="1:4" x14ac:dyDescent="0.3">
      <c r="A2">
        <v>1</v>
      </c>
      <c r="B2" t="s">
        <v>353</v>
      </c>
      <c r="C2" s="4">
        <f>SUMIF(Transactions!$D:$D,A2,Transactions!$I:$I)</f>
        <v>26432</v>
      </c>
      <c r="D2">
        <f>COUNTIF(Transactions!$D:$D,A2)</f>
        <v>22</v>
      </c>
    </row>
    <row r="3" spans="1:4" x14ac:dyDescent="0.3">
      <c r="A3">
        <v>2</v>
      </c>
      <c r="B3" t="s">
        <v>354</v>
      </c>
      <c r="C3" s="4">
        <f>SUMIF(Transactions!$D:$D,A3,Transactions!$I:$I)</f>
        <v>29477</v>
      </c>
      <c r="D3">
        <f>COUNTIF(Transactions!$D:$D,A3)</f>
        <v>19</v>
      </c>
    </row>
    <row r="4" spans="1:4" x14ac:dyDescent="0.3">
      <c r="A4">
        <v>3</v>
      </c>
      <c r="B4" t="s">
        <v>355</v>
      </c>
      <c r="C4" s="4">
        <f>SUMIF(Transactions!$D:$D,A4,Transactions!$I:$I)</f>
        <v>35697</v>
      </c>
      <c r="D4">
        <f>COUNTIF(Transactions!$D:$D,A4)</f>
        <v>20</v>
      </c>
    </row>
    <row r="5" spans="1:4" x14ac:dyDescent="0.3">
      <c r="A5">
        <v>4</v>
      </c>
      <c r="B5" t="s">
        <v>356</v>
      </c>
      <c r="C5" s="4">
        <f>SUMIF(Transactions!$D:$D,A5,Transactions!$I:$I)</f>
        <v>26811</v>
      </c>
      <c r="D5">
        <f>COUNTIF(Transactions!$D:$D,A5)</f>
        <v>14</v>
      </c>
    </row>
    <row r="6" spans="1:4" x14ac:dyDescent="0.3">
      <c r="A6">
        <v>5</v>
      </c>
      <c r="B6" t="s">
        <v>21</v>
      </c>
      <c r="C6" s="4">
        <f>SUMIF(Transactions!$D:$D,A6,Transactions!$I:$I)</f>
        <v>67417</v>
      </c>
      <c r="D6">
        <f>COUNTIF(Transactions!$D:$D,A6)</f>
        <v>26</v>
      </c>
    </row>
    <row r="7" spans="1:4" x14ac:dyDescent="0.3">
      <c r="A7">
        <v>6</v>
      </c>
      <c r="B7" t="s">
        <v>357</v>
      </c>
      <c r="C7" s="4">
        <f>SUMIF(Transactions!$D:$D,A7,Transactions!$I:$I)</f>
        <v>35785</v>
      </c>
      <c r="D7">
        <f>COUNTIF(Transactions!$D:$D,A7)</f>
        <v>20</v>
      </c>
    </row>
    <row r="8" spans="1:4" x14ac:dyDescent="0.3">
      <c r="A8">
        <v>7</v>
      </c>
      <c r="B8" t="s">
        <v>358</v>
      </c>
      <c r="C8" s="4">
        <f>SUMIF(Transactions!$D:$D,A8,Transactions!$I:$I)</f>
        <v>39956</v>
      </c>
      <c r="D8">
        <f>COUNTIF(Transactions!$D:$D,A8)</f>
        <v>21</v>
      </c>
    </row>
    <row r="9" spans="1:4" x14ac:dyDescent="0.3">
      <c r="A9">
        <v>8</v>
      </c>
      <c r="B9" t="s">
        <v>359</v>
      </c>
      <c r="C9" s="4">
        <f>SUMIF(Transactions!$D:$D,A9,Transactions!$I:$I)</f>
        <v>55726</v>
      </c>
      <c r="D9">
        <f>COUNTIF(Transactions!$D:$D,A9)</f>
        <v>29</v>
      </c>
    </row>
    <row r="10" spans="1:4" x14ac:dyDescent="0.3">
      <c r="A10">
        <v>9</v>
      </c>
      <c r="B10" t="s">
        <v>360</v>
      </c>
      <c r="C10" s="4">
        <f>SUMIF(Transactions!$D:$D,A10,Transactions!$I:$I)</f>
        <v>18588</v>
      </c>
      <c r="D10">
        <f>COUNTIF(Transactions!$D:$D,A10)</f>
        <v>9</v>
      </c>
    </row>
    <row r="11" spans="1:4" x14ac:dyDescent="0.3">
      <c r="A11">
        <v>10</v>
      </c>
      <c r="B11" t="s">
        <v>361</v>
      </c>
      <c r="C11" s="4">
        <f>SUMIF(Transactions!$D:$D,A11,Transactions!$I:$I)</f>
        <v>26627</v>
      </c>
      <c r="D11">
        <f>COUNTIF(Transactions!$D:$D,A11)</f>
        <v>18</v>
      </c>
    </row>
    <row r="12" spans="1:4" x14ac:dyDescent="0.3">
      <c r="A12">
        <v>11</v>
      </c>
      <c r="B12" t="s">
        <v>362</v>
      </c>
      <c r="C12" s="4">
        <f>SUMIF(Transactions!$D:$D,A12,Transactions!$I:$I)</f>
        <v>34014</v>
      </c>
      <c r="D12">
        <f>COUNTIF(Transactions!$D:$D,A12)</f>
        <v>25</v>
      </c>
    </row>
    <row r="13" spans="1:4" x14ac:dyDescent="0.3">
      <c r="A13">
        <v>12</v>
      </c>
      <c r="B13" t="s">
        <v>363</v>
      </c>
      <c r="C13" s="4">
        <f>SUMIF(Transactions!$D:$D,A13,Transactions!$I:$I)</f>
        <v>36229</v>
      </c>
      <c r="D13">
        <f>COUNTIF(Transactions!$D:$D,A13)</f>
        <v>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"/>
  <sheetViews>
    <sheetView workbookViewId="0"/>
  </sheetViews>
  <sheetFormatPr defaultRowHeight="14.4" x14ac:dyDescent="0.3"/>
  <cols>
    <col min="1" max="1" width="24" customWidth="1"/>
    <col min="2" max="2" width="105" customWidth="1"/>
  </cols>
  <sheetData>
    <row r="1" spans="1:2" ht="21" x14ac:dyDescent="0.4">
      <c r="A1" s="18" t="s">
        <v>364</v>
      </c>
      <c r="B1" s="11"/>
    </row>
    <row r="2" spans="1:2" ht="34.950000000000003" customHeight="1" x14ac:dyDescent="0.3">
      <c r="A2" s="6" t="s">
        <v>365</v>
      </c>
      <c r="B2" s="7" t="s">
        <v>366</v>
      </c>
    </row>
    <row r="3" spans="1:2" ht="34.950000000000003" customHeight="1" x14ac:dyDescent="0.3">
      <c r="A3" s="6" t="s">
        <v>367</v>
      </c>
      <c r="B3" s="7" t="s">
        <v>368</v>
      </c>
    </row>
    <row r="4" spans="1:2" ht="34.950000000000003" customHeight="1" x14ac:dyDescent="0.3">
      <c r="A4" s="6" t="s">
        <v>369</v>
      </c>
      <c r="B4" s="7" t="s">
        <v>370</v>
      </c>
    </row>
    <row r="5" spans="1:2" ht="34.950000000000003" customHeight="1" x14ac:dyDescent="0.3">
      <c r="A5" s="6" t="s">
        <v>371</v>
      </c>
      <c r="B5" s="7" t="s">
        <v>372</v>
      </c>
    </row>
    <row r="6" spans="1:2" ht="34.950000000000003" customHeight="1" x14ac:dyDescent="0.3">
      <c r="A6" s="6" t="s">
        <v>373</v>
      </c>
      <c r="B6" s="7" t="s">
        <v>374</v>
      </c>
    </row>
    <row r="7" spans="1:2" ht="34.950000000000003" customHeight="1" x14ac:dyDescent="0.3">
      <c r="A7" s="6" t="s">
        <v>375</v>
      </c>
      <c r="B7" s="7" t="s">
        <v>376</v>
      </c>
    </row>
    <row r="8" spans="1:2" ht="34.950000000000003" customHeight="1" x14ac:dyDescent="0.3">
      <c r="A8" s="6" t="s">
        <v>377</v>
      </c>
      <c r="B8" s="7" t="s">
        <v>378</v>
      </c>
    </row>
    <row r="9" spans="1:2" ht="34.950000000000003" customHeight="1" x14ac:dyDescent="0.3">
      <c r="A9" s="6" t="s">
        <v>379</v>
      </c>
      <c r="B9" s="7" t="s">
        <v>380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Transactions</vt:lpstr>
      <vt:lpstr>Category Summary</vt:lpstr>
      <vt:lpstr>Monthly Summary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pratham katiyar</cp:lastModifiedBy>
  <cp:lastPrinted>2026-10-21T07:45:01Z</cp:lastPrinted>
  <dcterms:created xsi:type="dcterms:W3CDTF">2026-10-21T07:38:50Z</dcterms:created>
  <dcterms:modified xsi:type="dcterms:W3CDTF">2026-10-21T07:45:34Z</dcterms:modified>
</cp:coreProperties>
</file>